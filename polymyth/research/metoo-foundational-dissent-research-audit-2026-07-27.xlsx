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e239db15a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dd8320b97e6419c"/>
    <x:sheet xmlns:r="http://schemas.openxmlformats.org/officeDocument/2006/relationships" name="Outside" sheetId="2" r:id="R0a8e2cb3fc6f4eb6"/>
    <x:sheet xmlns:r="http://schemas.openxmlformats.org/officeDocument/2006/relationships" name="Internal Gorgonwars" sheetId="3" r:id="R54c67e17a1074d09"/>
    <x:sheet xmlns:r="http://schemas.openxmlformats.org/officeDocument/2006/relationships" name="Unresolved" sheetId="4" r:id="R2ef88d93224e4f19"/>
    <x:sheet xmlns:r="http://schemas.openxmlformats.org/officeDocument/2006/relationships" name="Scanner - N.A." sheetId="5" r:id="R28007e99ddc34368"/>
    <x:sheet xmlns:r="http://schemas.openxmlformats.org/officeDocument/2006/relationships" name="Database controls" sheetId="6" r:id="R831a56fb24634d65"/>
    <x:sheet xmlns:r="http://schemas.openxmlformats.org/officeDocument/2006/relationships" name="Editable source database" sheetId="7" r:id="R8697bf5bb9f54e3a"/>
    <x:sheet xmlns:r="http://schemas.openxmlformats.org/officeDocument/2006/relationships" name="Classification change log" sheetId="8" r:id="R169617bb4f5a42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2033"/>
      <x:name val="Carlito"/>
    </x:font>
    <x:font>
      <x:b/>
      <x:sz val="10"/>
      <x:color rgb="FFFFFFFF"/>
      <x:name val="Carlito"/>
    </x:font>
    <x:font>
      <x:sz val="10"/>
      <x:color rgb="FF172033"/>
      <x:name val="Carlito"/>
    </x:font>
    <x:font>
      <x:sz val="10"/>
      <x:color rgb="FF274E13"/>
      <x:name val="Carlito"/>
    </x:font>
    <x:font>
      <x:b/>
      <x:sz val="11"/>
      <x:color rgb="FF172033"/>
      <x:name val="Carlito"/>
    </x:font>
    <x:font>
      <x:b/>
      <x:sz val="12"/>
      <x:color rgb="FF17365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EAF0F6"/>
      </x:patternFill>
    </x:fill>
    <x:fill>
      <x:patternFill patternType="solid">
        <x:fgColor rgb="FFE7EEF5"/>
      </x:patternFill>
    </x:fill>
  </x:fills>
  <x:borders count="11">
    <x:border/>
    <x:border>
      <x:left style="thin">
        <x:color rgb="FFB8C8D8"/>
      </x:left>
      <x:right style="thin">
        <x:color rgb="FFB8C8D8"/>
      </x:right>
      <x:top style="thin">
        <x:color rgb="FFB8C8D8"/>
      </x:top>
      <x:bottom style="thin">
        <x:color rgb="FFB8C8D8"/>
      </x:bottom>
    </x:border>
    <x:border>
      <x:left style="thin">
        <x:color rgb="FFB8C8D8"/>
      </x:left>
      <x:right style="thin">
        <x:color rgb="FFE5EAF0"/>
      </x:right>
      <x:top style="thin">
        <x:color rgb="FFB8C8D8"/>
      </x:top>
      <x:bottom style="thin">
        <x:color rgb="FFD9E1E8"/>
      </x:bottom>
    </x:border>
    <x:border>
      <x:left style="thin">
        <x:color rgb="FFE5EAF0"/>
      </x:left>
      <x:right style="thin">
        <x:color rgb="FFE5EAF0"/>
      </x:right>
      <x:top style="thin">
        <x:color rgb="FFB8C8D8"/>
      </x:top>
      <x:bottom style="thin">
        <x:color rgb="FFD9E1E8"/>
      </x:bottom>
    </x:border>
    <x:border>
      <x:left style="thin">
        <x:color rgb="FFE5EAF0"/>
      </x:left>
      <x:right style="thin">
        <x:color rgb="FFB8C8D8"/>
      </x:right>
      <x:top style="thin">
        <x:color rgb="FFB8C8D8"/>
      </x:top>
      <x:bottom style="thin">
        <x:color rgb="FFD9E1E8"/>
      </x:bottom>
    </x:border>
    <x:border>
      <x:left style="thin">
        <x:color rgb="FFB8C8D8"/>
      </x:left>
      <x:right style="thin">
        <x:color rgb="FFE5EAF0"/>
      </x:right>
      <x:top style="thin">
        <x:color rgb="FFD9E1E8"/>
      </x:top>
      <x:bottom style="thin">
        <x:color rgb="FFD9E1E8"/>
      </x:bottom>
    </x:border>
    <x:border>
      <x:left style="thin">
        <x:color rgb="FFE5EAF0"/>
      </x:left>
      <x:right style="thin">
        <x:color rgb="FFE5EAF0"/>
      </x:right>
      <x:top style="thin">
        <x:color rgb="FFD9E1E8"/>
      </x:top>
      <x:bottom style="thin">
        <x:color rgb="FFD9E1E8"/>
      </x:bottom>
    </x:border>
    <x:border>
      <x:left style="thin">
        <x:color rgb="FFE5EAF0"/>
      </x:left>
      <x:right style="thin">
        <x:color rgb="FFB8C8D8"/>
      </x:right>
      <x:top style="thin">
        <x:color rgb="FFD9E1E8"/>
      </x:top>
      <x:bottom style="thin">
        <x:color rgb="FFD9E1E8"/>
      </x:bottom>
    </x:border>
    <x:border>
      <x:left style="thin">
        <x:color rgb="FFB8C8D8"/>
      </x:left>
      <x:right style="thin">
        <x:color rgb="FFE5EAF0"/>
      </x:right>
      <x:top style="thin">
        <x:color rgb="FFD9E1E8"/>
      </x:top>
      <x:bottom style="thin">
        <x:color rgb="FFB8C8D8"/>
      </x:bottom>
    </x:border>
    <x:border>
      <x:left style="thin">
        <x:color rgb="FFE5EAF0"/>
      </x:left>
      <x:right style="thin">
        <x:color rgb="FFE5EAF0"/>
      </x:right>
      <x:top style="thin">
        <x:color rgb="FFD9E1E8"/>
      </x:top>
      <x:bottom style="thin">
        <x:color rgb="FFB8C8D8"/>
      </x:bottom>
    </x:border>
    <x:border>
      <x:left style="thin">
        <x:color rgb="FFE5EAF0"/>
      </x:left>
      <x:right style="thin">
        <x:color rgb="FFB8C8D8"/>
      </x:right>
      <x:top style="thin">
        <x:color rgb="FFD9E1E8"/>
      </x:top>
      <x:bottom style="thin">
        <x:color rgb="FFB8C8D8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0" fontId="4" fillId="8" borderId="9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4" borderId="5" xfId="0" applyNumberFormat="1" applyFont="1" applyFill="1" applyBorder="1" applyAlignment="1">
      <x:alignment horizontal="center" vertical="top" wrapText="1"/>
    </x:xf>
    <x:xf numFmtId="0" fontId="4" fillId="5" borderId="5" xfId="0" applyNumberFormat="1" applyFont="1" applyFill="1" applyBorder="1" applyAlignment="1">
      <x:alignment horizontal="center" vertical="top" wrapText="1"/>
    </x:xf>
    <x:xf numFmtId="0" fontId="4" fillId="5" borderId="8" xfId="0" applyNumberFormat="1" applyFont="1" applyFill="1" applyBorder="1" applyAlignment="1">
      <x:alignment horizontal="center" vertical="top" wrapText="1"/>
    </x:xf>
    <x:xf numFmtId="0" fontId="4" fillId="5" borderId="3" xfId="0" applyNumberFormat="1" applyFont="1" applyFill="1" applyBorder="1" applyAlignment="1">
      <x:alignment horizontal="center" vertical="top" wrapText="1"/>
    </x:xf>
    <x:xf numFmtId="0" fontId="4" fillId="4" borderId="6" xfId="0" applyNumberFormat="1" applyFont="1" applyFill="1" applyBorder="1" applyAlignment="1">
      <x:alignment horizontal="center" vertical="top" wrapText="1"/>
    </x:xf>
    <x:xf numFmtId="0" fontId="4" fillId="5" borderId="6" xfId="0" applyNumberFormat="1" applyFont="1" applyFill="1" applyBorder="1" applyAlignment="1">
      <x:alignment horizontal="center" vertical="top" wrapText="1"/>
    </x:xf>
    <x:xf numFmtId="0" fontId="4" fillId="5" borderId="9" xfId="0" applyNumberFormat="1" applyFont="1" applyFill="1" applyBorder="1" applyAlignment="1">
      <x:alignment horizontal="center" vertical="top" wrapText="1"/>
    </x:xf>
    <x:xf numFmtId="200" fontId="4" fillId="5" borderId="3" xfId="0" applyNumberFormat="1" applyFont="1" applyFill="1" applyBorder="1" applyAlignment="1">
      <x:alignment vertical="top" wrapText="1"/>
    </x:xf>
    <x:xf numFmtId="200" fontId="4" fillId="4" borderId="6" xfId="0" applyNumberFormat="1" applyFont="1" applyFill="1" applyBorder="1" applyAlignment="1">
      <x:alignment vertical="top" wrapText="1"/>
    </x:xf>
    <x:xf numFmtId="200" fontId="4" fillId="5" borderId="6" xfId="0" applyNumberFormat="1" applyFont="1" applyFill="1" applyBorder="1" applyAlignment="1">
      <x:alignment vertical="top" wrapText="1"/>
    </x:xf>
    <x:xf numFmtId="200" fontId="4" fillId="5" borderId="9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7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horizontal="center" vertical="top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4C3575"/>
      </x:font>
      <x:fill>
        <x:patternFill patternType="solid">
          <x:bgColor rgb="FFE4DFE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444444"/>
      </x:font>
      <x:fill>
        <x:patternFill patternType="solid">
          <x:bgColor rgb="FFE7E6E6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444444"/>
      </x:font>
      <x:fill>
        <x:patternFill patternType="solid">
          <x:bgColor rgb="FFE7E6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72002aaac4b8d" /><Relationship Type="http://schemas.openxmlformats.org/officeDocument/2006/relationships/theme" Target="/xl/theme/theme1.xml" Id="Raca461b4799b4303" /><Relationship Type="http://schemas.openxmlformats.org/officeDocument/2006/relationships/sharedStrings" Target="/xl/sharedStrings.xml" Id="Rfbfef341f4e844ea" /><Relationship Type="http://schemas.openxmlformats.org/officeDocument/2006/relationships/worksheet" Target="/xl/worksheets/sheet1.xml" Id="R8dd8320b97e6419c" /><Relationship Type="http://schemas.openxmlformats.org/officeDocument/2006/relationships/worksheet" Target="/xl/worksheets/sheet2.xml" Id="R0a8e2cb3fc6f4eb6" /><Relationship Type="http://schemas.openxmlformats.org/officeDocument/2006/relationships/worksheet" Target="/xl/worksheets/sheet3.xml" Id="R54c67e17a1074d09" /><Relationship Type="http://schemas.openxmlformats.org/officeDocument/2006/relationships/worksheet" Target="/xl/worksheets/sheet4.xml" Id="R2ef88d93224e4f19" /><Relationship Type="http://schemas.openxmlformats.org/officeDocument/2006/relationships/worksheet" Target="/xl/worksheets/sheet5.xml" Id="R28007e99ddc34368" /><Relationship Type="http://schemas.openxmlformats.org/officeDocument/2006/relationships/worksheet" Target="/xl/worksheets/sheet6.xml" Id="R831a56fb24634d65" /><Relationship Type="http://schemas.openxmlformats.org/officeDocument/2006/relationships/worksheet" Target="/xl/worksheets/sheet7.xml" Id="R8697bf5bb9f54e3a" /><Relationship Type="http://schemas.openxmlformats.org/officeDocument/2006/relationships/worksheet" Target="/xl/worksheets/sheet8.xml" Id="R169617bb4f5a42de" /></Relationships>
</file>

<file path=xl/tables/table1.xml><?xml version="1.0" encoding="utf-8"?>
<x:table xmlns:x="http://schemas.openxmlformats.org/spreadsheetml/2006/main" id="3" name="OutsideTable" displayName="OutsideTable" ref="A4:N81" headerRowCount="1" totalsRowCount="0" totalsRowShown="0">
  <x:autoFilter ref="A4:N81"/>
  <x:tableColumns count="14">
    <x:tableColumn id="1" name="Source ID"/>
    <x:tableColumn id="2" name="Year"/>
    <x:tableColumn id="3" name="Authors"/>
    <x:tableColumn id="4" name="Title"/>
    <x:tableColumn id="5" name="Premise class"/>
    <x:tableColumn id="6" name="PIP position"/>
    <x:tableColumn id="7" name="Standpoint position"/>
    <x:tableColumn id="8" name="#MeToo relation"/>
    <x:tableColumn id="9" name="Publication type"/>
    <x:tableColumn id="10" name="One-line ironman thesis"/>
    <x:tableColumn id="11" name="Evidence limit / anti-TWIST guardrail"/>
    <x:tableColumn id="12" name="PIP evidence strength"/>
    <x:tableColumn id="13" name="Standpoint evidence strength"/>
    <x:tableColumn id="14" name="Primary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InternalGorgonwarsTable" displayName="InternalGorgonwarsTable" ref="A4:N20" headerRowCount="1" totalsRowCount="0" totalsRowShown="0">
  <x:autoFilter ref="A4:N20"/>
  <x:tableColumns count="14">
    <x:tableColumn id="1" name="Source ID"/>
    <x:tableColumn id="2" name="Year"/>
    <x:tableColumn id="3" name="Authors"/>
    <x:tableColumn id="4" name="Title"/>
    <x:tableColumn id="5" name="Premise class"/>
    <x:tableColumn id="6" name="PIP position"/>
    <x:tableColumn id="7" name="Standpoint position"/>
    <x:tableColumn id="8" name="#MeToo relation"/>
    <x:tableColumn id="9" name="Publication type"/>
    <x:tableColumn id="10" name="One-line ironman thesis"/>
    <x:tableColumn id="11" name="Evidence limit / anti-TWIST guardrail"/>
    <x:tableColumn id="12" name="PIP evidence strength"/>
    <x:tableColumn id="13" name="Standpoint evidence strength"/>
    <x:tableColumn id="14" name="Primary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UnresolvedTable" displayName="UnresolvedTable" ref="A4:N45" headerRowCount="1" totalsRowCount="0" totalsRowShown="0">
  <x:autoFilter ref="A4:N45"/>
  <x:tableColumns count="14">
    <x:tableColumn id="1" name="Source ID"/>
    <x:tableColumn id="2" name="Year"/>
    <x:tableColumn id="3" name="Authors"/>
    <x:tableColumn id="4" name="Title"/>
    <x:tableColumn id="5" name="Premise class"/>
    <x:tableColumn id="6" name="PIP position"/>
    <x:tableColumn id="7" name="Standpoint position"/>
    <x:tableColumn id="8" name="#MeToo relation"/>
    <x:tableColumn id="9" name="Publication type"/>
    <x:tableColumn id="10" name="One-line ironman thesis"/>
    <x:tableColumn id="11" name="Evidence limit / anti-TWIST guardrail"/>
    <x:tableColumn id="12" name="PIP evidence strength"/>
    <x:tableColumn id="13" name="Standpoint evidence strength"/>
    <x:tableColumn id="14" name="Primary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ScannerNATable" displayName="ScannerNATable" ref="A4:N36" headerRowCount="1" totalsRowCount="0" totalsRowShown="0">
  <x:autoFilter ref="A4:N36"/>
  <x:tableColumns count="14">
    <x:tableColumn id="1" name="Source ID"/>
    <x:tableColumn id="2" name="Year"/>
    <x:tableColumn id="3" name="Authors"/>
    <x:tableColumn id="4" name="Title"/>
    <x:tableColumn id="5" name="Premise class"/>
    <x:tableColumn id="6" name="PIP position"/>
    <x:tableColumn id="7" name="Standpoint position"/>
    <x:tableColumn id="8" name="#MeToo relation"/>
    <x:tableColumn id="9" name="Publication type"/>
    <x:tableColumn id="10" name="One-line ironman thesis"/>
    <x:tableColumn id="11" name="Evidence limit / anti-TWIST guardrail"/>
    <x:tableColumn id="12" name="PIP evidence strength"/>
    <x:tableColumn id="13" name="Standpoint evidence strength"/>
    <x:tableColumn id="14" name="Primary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EditableSourceDatabaseTable" displayName="EditableSourceDatabaseTable" ref="A5:AT196" headerRowCount="1" totalsRowCount="0" totalsRowShown="0">
  <x:autoFilter ref="A5:AT196"/>
  <x:tableColumns count="46">
    <x:tableColumn id="1" name="Source ID"/>
    <x:tableColumn id="2" name="Record status"/>
    <x:tableColumn id="3" name="Set ID"/>
    <x:tableColumn id="4" name="Set name (formula)"/>
    <x:tableColumn id="5" name="Premise class final"/>
    <x:tableColumn id="6" name="Personal-is-political position"/>
    <x:tableColumn id="7" name="Standpoint position"/>
    <x:tableColumn id="8" name="Premise class auto (formula)"/>
    <x:tableColumn id="9" name="Classification check (formula)"/>
    <x:tableColumn id="10" name="Evidence role description"/>
    <x:tableColumn id="11" name="#MeToo relation"/>
    <x:tableColumn id="12" name="Publication type"/>
    <x:tableColumn id="13" name="Review status"/>
    <x:tableColumn id="14" name="Year"/>
    <x:tableColumn id="15" name="Authors"/>
    <x:tableColumn id="16" name="Title"/>
    <x:tableColumn id="17" name="Venue"/>
    <x:tableColumn id="18" name="Language"/>
    <x:tableColumn id="19" name="One-line ironman thesis"/>
    <x:tableColumn id="20" name="Evidence limit / anti-TWIST guardrail"/>
    <x:tableColumn id="21" name="Full-text status"/>
    <x:tableColumn id="22" name="Primary URL"/>
    <x:tableColumn id="23" name="DOI / stable ID"/>
    <x:tableColumn id="24" name="Added date"/>
    <x:tableColumn id="25" name="Last verified"/>
    <x:tableColumn id="26" name="Notes"/>
    <x:tableColumn id="27" name="Duplicate / related source"/>
    <x:tableColumn id="28" name="Original list number"/>
    <x:tableColumn id="29" name="Evidence-role category"/>
    <x:tableColumn id="30" name="Authorial stance"/>
    <x:tableColumn id="31" name="Direct #MeToo source"/>
    <x:tableColumn id="32" name="Critique target"/>
    <x:tableColumn id="33" name="PIP evidence strength"/>
    <x:tableColumn id="34" name="PIP evidence statement"/>
    <x:tableColumn id="35" name="PIP page / section"/>
    <x:tableColumn id="36" name="PIP evidence URL"/>
    <x:tableColumn id="37" name="Standpoint evidence strength"/>
    <x:tableColumn id="38" name="Standpoint evidence statement"/>
    <x:tableColumn id="39" name="Standpoint page / section"/>
    <x:tableColumn id="40" name="Standpoint evidence URL"/>
    <x:tableColumn id="41" name="Override reason"/>
    <x:tableColumn id="42" name="Reviewer"/>
    <x:tableColumn id="43" name="Rubric version"/>
    <x:tableColumn id="44" name="Alternate URL"/>
    <x:tableColumn id="45" name="Evidence completeness (formula)"/>
    <x:tableColumn id="46" name="Change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" name="ClassificationChangeLogTable" displayName="ClassificationChangeLogTable" ref="A4:H29" headerRowCount="1" totalsRowCount="0" totalsRowShown="0">
  <x:autoFilter ref="A4:H29"/>
  <x:tableColumns count="8">
    <x:tableColumn id="1" name="Change date"/>
    <x:tableColumn id="2" name="Source ID"/>
    <x:tableColumn id="3" name="Field changed"/>
    <x:tableColumn id="4" name="Old value"/>
    <x:tableColumn id="5" name="New value"/>
    <x:tableColumn id="6" name="Reason"/>
    <x:tableColumn id="7" name="Reviewer"/>
    <x:tableColumn id="8" name="Eviden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5db2b04f8543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304ca327d840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009bf26be644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054f1afc654a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a5b8e26937245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1ae9abffc6748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50" hidden="0" customWidth="1"/>
    <x:col min="4" max="4" width="52" hidden="0" customWidth="1"/>
    <x:col min="5" max="5" width="27" hidden="0" customWidth="1"/>
    <x:col min="6" max="6" width="37" hidden="0" customWidth="1"/>
  </x:cols>
  <x:sheetData>
    <x:row r="1" ht="30" customHeight="1">
      <x:c r="A1" s="3" t="str">
        <x:v>#MeToo foundational dissent research audit</x:v>
      </x:c>
    </x:row>
    <x:row r="2" ht="44" customHeight="1">
      <x:c r="A2" s="7" t="str">
        <x:v>Preview-safe working edition. The 16,324-record scanner universe and 1,822-row candidate queue remain preserved in the separate full archive; this file keeps the complete 166-source reviewed database and its editable premise evidence.</x:v>
      </x:c>
      <x:c r="B2" s="7"/>
      <x:c r="C2" s="7"/>
      <x:c r="D2" s="7"/>
      <x:c r="E2" s="7"/>
      <x:c r="F2" s="7"/>
    </x:row>
    <x:row r="4" ht="38" customHeight="1">
      <x:c r="A4" s="11" t="str">
        <x:v>Working component</x:v>
      </x:c>
      <x:c r="B4" s="11" t="str">
        <x:v>Current size</x:v>
      </x:c>
      <x:c r="C4" s="11" t="str">
        <x:v>What it contains</x:v>
      </x:c>
      <x:c r="D4" s="11" t="str">
        <x:v>How to use it</x:v>
      </x:c>
      <x:c r="E4" s="11" t="str">
        <x:v>Status</x:v>
      </x:c>
      <x:c r="F4" s="11" t="str">
        <x:v>Tab</x:v>
      </x:c>
    </x:row>
    <x:row r="5" ht="52" customHeight="1">
      <x:c r="A5" s="16" t="str">
        <x:v>Editable source database</x:v>
      </x:c>
      <x:c r="B5" s="100" t="n">
        <x:f>COUNTA('Editable source database'!P6:P196)</x:f>
        <x:v>166</x:v>
      </x:c>
      <x:c r="C5" s="16" t="str">
        <x:v>All 46 research fields, premise positions, exact evidence blocks, classifications, URLs, and guardrails.</x:v>
      </x:c>
      <x:c r="D5" s="16" t="str">
        <x:v>Add each new source on the first blank row; column S is the one-line ironmanned thesis.</x:v>
      </x:c>
      <x:c r="E5" s="16" t="str">
        <x:v>LIVE CANONICAL</x:v>
      </x:c>
      <x:c r="F5" s="16" t="str">
        <x:v>Editable source database</x:v>
      </x:c>
    </x:row>
    <x:row r="6" ht="52" customHeight="1">
      <x:c r="A6" s="17" t="str">
        <x:v>Outside / excommunicable view</x:v>
      </x:c>
      <x:c r="B6" s="100" t="n">
        <x:f>COUNTIF('Editable source database'!E6:E196,"OUTSIDE / EXCOMMUNICABLE")</x:f>
        <x:v>77</x:v>
      </x:c>
      <x:c r="C6" s="17" t="str">
        <x:v>Sources rejecting either fixed premise.</x:v>
      </x:c>
      <x:c r="D6" s="17" t="str">
        <x:v>Use as a readable view; edit the canonical database.</x:v>
      </x:c>
      <x:c r="E6" s="17" t="str">
        <x:v>CURRENT SNAPSHOT</x:v>
      </x:c>
      <x:c r="F6" s="17" t="str">
        <x:v>Outside</x:v>
      </x:c>
    </x:row>
    <x:row r="7" ht="52" customHeight="1">
      <x:c r="A7" s="16" t="str">
        <x:v>Internal Gorgonwars view</x:v>
      </x:c>
      <x:c r="B7" s="100" t="n">
        <x:f>COUNTIF('Editable source database'!E6:E196,"INTERNAL GORGONWARS")</x:f>
        <x:v>16</x:v>
      </x:c>
      <x:c r="C7" s="16" t="str">
        <x:v>Sources demonstrably retaining both fixed premises.</x:v>
      </x:c>
      <x:c r="D7" s="16" t="str">
        <x:v>Use as a readable view; edit the canonical database.</x:v>
      </x:c>
      <x:c r="E7" s="16" t="str">
        <x:v>CURRENT SNAPSHOT</x:v>
      </x:c>
      <x:c r="F7" s="16" t="str">
        <x:v>Internal Gorgonwars</x:v>
      </x:c>
    </x:row>
    <x:row r="8" ht="52" customHeight="1">
      <x:c r="A8" s="17" t="str">
        <x:v>Premises unresolved view</x:v>
      </x:c>
      <x:c r="B8" s="100" t="n">
        <x:f>COUNTIF('Editable source database'!E6:E196,"PREMISES UNRESOLVED")</x:f>
        <x:v>41</x:v>
      </x:c>
      <x:c r="C8" s="17" t="str">
        <x:v>Sources whose evidence leaves at least one premise unsettled.</x:v>
      </x:c>
      <x:c r="D8" s="17" t="str">
        <x:v>Keep unresolved until the text establishes a premise position.</x:v>
      </x:c>
      <x:c r="E8" s="17" t="str">
        <x:v>CURRENT SNAPSHOT</x:v>
      </x:c>
      <x:c r="F8" s="17" t="str">
        <x:v>Unresolved</x:v>
      </x:c>
    </x:row>
    <x:row r="9" ht="52" customHeight="1">
      <x:c r="A9" s="16" t="str">
        <x:v>Scanner / reception view</x:v>
      </x:c>
      <x:c r="B9" s="100" t="n">
        <x:f>COUNTIF('Editable source database'!E6:E196,"NOT APPLICABLE")</x:f>
        <x:v>32</x:v>
      </x:c>
      <x:c r="C9" s="16" t="str">
        <x:v>Mechanism, reception, and other records that do not express an authorial premise position.</x:v>
      </x:c>
      <x:c r="D9" s="16" t="str">
        <x:v>Use for scanner diagnosis and reception evidence.</x:v>
      </x:c>
      <x:c r="E9" s="16" t="str">
        <x:v>CURRENT SNAPSHOT</x:v>
      </x:c>
      <x:c r="F9" s="16" t="str">
        <x:v>Scanner - N.A.</x:v>
      </x:c>
    </x:row>
    <x:row r="10" ht="52" customHeight="1">
      <x:c r="A10" s="17" t="str">
        <x:v>Full raw archive</x:v>
      </x:c>
      <x:c r="B10" s="17" t="str">
        <x:v>18,146 inherited scanner rows</x:v>
      </x:c>
      <x:c r="C10" s="17" t="str">
        <x:v>The original candidate queue and search universe plus every historical audit tab.</x:v>
      </x:c>
      <x:c r="D10" s="17" t="str">
        <x:v>Open only when auditing retrieval; it is intentionally separated so this preview loads.</x:v>
      </x:c>
      <x:c r="E10" s="17" t="str">
        <x:v>PRESERVED SEPARATELY</x:v>
      </x:c>
      <x:c r="F10" s="17" t="str">
        <x:v>metoo_foundational_dissent_full_archive_2026-07-28.xlsx</x:v>
      </x:c>
    </x:row>
    <x:row r="12" ht="38" customHeight="1">
      <x:c r="A12" s="11" t="str">
        <x:v>Measure</x:v>
      </x:c>
      <x:c r="B12" s="11" t="str">
        <x:v>Count</x:v>
      </x:c>
      <x:c r="C12" s="11" t="str">
        <x:v>Fixed rule</x:v>
      </x:c>
      <x:c r="D12" s="11" t="str">
        <x:v>Evidence discipline</x:v>
      </x:c>
      <x:c r="E12" s="11" t="str">
        <x:v>Live source</x:v>
      </x:c>
      <x:c r="F12" s="11" t="str">
        <x:v>Last expanded</x:v>
      </x:c>
    </x:row>
    <x:row r="13" ht="48" customHeight="1">
      <x:c r="A13" s="16" t="str">
        <x:v>Total reviewed sources</x:v>
      </x:c>
      <x:c r="B13" s="100" t="n">
        <x:f>COUNTA('Editable source database'!P6:P196)</x:f>
        <x:v>166</x:v>
      </x:c>
      <x:c r="C13" s="16" t="str">
        <x:v>Every reviewed row appears in exactly one final class.</x:v>
      </x:c>
      <x:c r="D13" s="16" t="str">
        <x:v>Each row retains a source URL and an explicit evidence limit.</x:v>
      </x:c>
      <x:c r="E13" s="16" t="str">
        <x:v>Editable source database</x:v>
      </x:c>
      <x:c r="F13" s="16" t="str">
        <x:v>2026-07-28</x:v>
      </x:c>
    </x:row>
    <x:row r="14" ht="48" customHeight="1">
      <x:c r="A14" s="17" t="str">
        <x:v>Outside / excommunicable</x:v>
      </x:c>
      <x:c r="B14" s="100" t="n">
        <x:f>COUNTIF('Editable source database'!E6:E196,"OUTSIDE / EXCOMMUNICABLE")</x:f>
        <x:v>77</x:v>
      </x:c>
      <x:c r="C14" s="17" t="str">
        <x:v>Either premise = REJECTS.</x:v>
      </x:c>
      <x:c r="D14" s="17" t="str">
        <x:v>A premise rejection requires source-level evidence.</x:v>
      </x:c>
      <x:c r="E14" s="17" t="str">
        <x:v>Editable source database</x:v>
      </x:c>
      <x:c r="F14" s="17" t="str">
        <x:v>2026-07-28</x:v>
      </x:c>
    </x:row>
    <x:row r="15" ht="48" customHeight="1">
      <x:c r="A15" s="16" t="str">
        <x:v>Internal Gorgonwars</x:v>
      </x:c>
      <x:c r="B15" s="100" t="n">
        <x:f>COUNTIF('Editable source database'!E6:E196,"INTERNAL GORGONWARS")</x:f>
        <x:v>16</x:v>
      </x:c>
      <x:c r="C15" s="16" t="str">
        <x:v>Both premises = RETAINS or RETAINS WITH QUALIFICATION.</x:v>
      </x:c>
      <x:c r="D15" s="16" t="str">
        <x:v>Criticism of #MeToo alone never establishes this class.</x:v>
      </x:c>
      <x:c r="E15" s="16" t="str">
        <x:v>Editable source database</x:v>
      </x:c>
      <x:c r="F15" s="16" t="str">
        <x:v>2026-07-28</x:v>
      </x:c>
    </x:row>
    <x:row r="16" ht="48" customHeight="1">
      <x:c r="A16" s="17" t="str">
        <x:v>Premises unresolved</x:v>
      </x:c>
      <x:c r="B16" s="100" t="n">
        <x:f>COUNTIF('Editable source database'!E6:E196,"PREMISES UNRESOLVED")</x:f>
        <x:v>41</x:v>
      </x:c>
      <x:c r="C16" s="17" t="str">
        <x:v>Every other authorial-premise combination.</x:v>
      </x:c>
      <x:c r="D16" s="17" t="str">
        <x:v>Unstated premises remain unstated.</x:v>
      </x:c>
      <x:c r="E16" s="17" t="str">
        <x:v>Editable source database</x:v>
      </x:c>
      <x:c r="F16" s="17" t="str">
        <x:v>2026-07-28</x:v>
      </x:c>
    </x:row>
    <x:row r="17" ht="48" customHeight="1">
      <x:c r="A17" s="16" t="str">
        <x:v>Not applicable</x:v>
      </x:c>
      <x:c r="B17" s="100" t="n">
        <x:f>COUNTIF('Editable source database'!E6:E196,"NOT APPLICABLE")</x:f>
        <x:v>32</x:v>
      </x:c>
      <x:c r="C17" s="16" t="str">
        <x:v>Both premise fields = NOT APPLICABLE.</x:v>
      </x:c>
      <x:c r="D17" s="16" t="str">
        <x:v>Scanner/reception records never become authorial premise evidence.</x:v>
      </x:c>
      <x:c r="E17" s="16" t="str">
        <x:v>Editable source database</x:v>
      </x:c>
      <x:c r="F17" s="16" t="str">
        <x:v>2026-07-28</x:v>
      </x:c>
    </x:row>
    <x:row r="19" ht="38" customHeight="1">
      <x:c r="A19" s="11" t="str">
        <x:v>Preview fix</x:v>
      </x:c>
      <x:c r="B19" s="11" t="str">
        <x:v>Result</x:v>
      </x:c>
      <x:c r="C19" s="11" t="str">
        <x:v>Cause</x:v>
      </x:c>
      <x:c r="D19" s="11" t="str">
        <x:v>Preservation</x:v>
      </x:c>
      <x:c r="E19" s="11" t="str">
        <x:v>Editing rule</x:v>
      </x:c>
      <x:c r="F19" s="11" t="str">
        <x:v>Version note</x:v>
      </x:c>
    </x:row>
    <x:row r="20" ht="68" customHeight="1">
      <x:c r="A20" s="22" t="str">
        <x:v>Separated raw scanner sheets from the live workbook</x:v>
      </x:c>
      <x:c r="B20" s="22" t="str">
        <x:v>The visible workbook now contains only the working database, controls, class views, and change log.</x:v>
      </x:c>
      <x:c r="C20" s="22" t="str">
        <x:v>The previous preview tried to lay out two visible archival sheets containing more than 18,000 rows.</x:v>
      </x:c>
      <x:c r="D20" s="22" t="str">
        <x:v>The complete former workbook is saved as the full archive and remains in Library version history.</x:v>
      </x:c>
      <x:c r="E20" s="22" t="str">
        <x:v>Make future additions in the live database; use the class views for reading.</x:v>
      </x:c>
      <x:c r="F20" s="22" t="str">
        <x:v>Preview-safe rebuild, 2026-07-28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30" hidden="0" customWidth="1"/>
    <x:col min="4" max="4" width="44" hidden="0" customWidth="1"/>
    <x:col min="5" max="5" width="27" hidden="0" customWidth="1"/>
    <x:col min="6" max="6" width="22" hidden="0" customWidth="1"/>
    <x:col min="7" max="7" width="22" hidden="0" customWidth="1"/>
    <x:col min="8" max="8" width="27" hidden="0" customWidth="1"/>
    <x:col min="9" max="9" width="27" hidden="0" customWidth="1"/>
    <x:col min="10" max="10" width="70" hidden="0" customWidth="1"/>
    <x:col min="11" max="11" width="56" hidden="0" customWidth="1"/>
    <x:col min="12" max="12" width="21" hidden="0" customWidth="1"/>
    <x:col min="13" max="13" width="21" hidden="0" customWidth="1"/>
    <x:col min="14" max="14" width="58" hidden="0" customWidth="1"/>
  </x:cols>
  <x:sheetData>
    <x:row r="1" ht="30" customHeight="1">
      <x:c r="A1" s="3" t="str">
        <x:v>Outside / excommunicable sources</x:v>
      </x:c>
    </x:row>
    <x:row r="2" ht="38" customHeight="1">
      <x:c r="A2" s="7" t="str">
        <x:v>Rejects at least one fixed premise. Premise rejection controls even when the author identifies as feminist.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8" customHeight="1">
      <x:c r="A4" s="11" t="str">
        <x:v>Source ID</x:v>
      </x:c>
      <x:c r="B4" s="11" t="str">
        <x:v>Year</x:v>
      </x:c>
      <x:c r="C4" s="11" t="str">
        <x:v>Authors</x:v>
      </x:c>
      <x:c r="D4" s="11" t="str">
        <x:v>Title</x:v>
      </x:c>
      <x:c r="E4" s="11" t="str">
        <x:v>Premise class</x:v>
      </x:c>
      <x:c r="F4" s="11" t="str">
        <x:v>PIP position</x:v>
      </x:c>
      <x:c r="G4" s="11" t="str">
        <x:v>Standpoint position</x:v>
      </x:c>
      <x:c r="H4" s="11" t="str">
        <x:v>#MeToo relation</x:v>
      </x:c>
      <x:c r="I4" s="11" t="str">
        <x:v>Publication type</x:v>
      </x:c>
      <x:c r="J4" s="11" t="str">
        <x:v>One-line ironman thesis</x:v>
      </x:c>
      <x:c r="K4" s="11" t="str">
        <x:v>Evidence limit / anti-TWIST guardrail</x:v>
      </x:c>
      <x:c r="L4" s="11" t="str">
        <x:v>PIP evidence strength</x:v>
      </x:c>
      <x:c r="M4" s="11" t="str">
        <x:v>Standpoint evidence strength</x:v>
      </x:c>
      <x:c r="N4" s="11" t="str">
        <x:v>Primary URL</x:v>
      </x:c>
    </x:row>
    <x:row r="5" ht="58" customHeight="1">
      <x:c r="A5" s="101" t="n">
        <x:v>1</x:v>
      </x:c>
      <x:c r="B5" s="102" t="n">
        <x:v>2021</x:v>
      </x:c>
      <x:c r="C5" s="102" t="str">
        <x:v>Tatjana Hörnle</x:v>
      </x:c>
      <x:c r="D5" s="102" t="str">
        <x:v>Evaluating #MeToo: The Perspective of Criminal Law Theory</x:v>
      </x:c>
      <x:c r="E5" s="102" t="str">
        <x:v>OUTSIDE / EXCOMMUNICABLE</x:v>
      </x:c>
      <x:c r="F5" s="102" t="str">
        <x:v>NO EVIDENCE</x:v>
      </x:c>
      <x:c r="G5" s="102" t="str">
        <x:v>REJECTS</x:v>
      </x:c>
      <x:c r="H5" s="102" t="str">
        <x:v>Direct #MeToo critique</x:v>
      </x:c>
      <x:c r="I5" s="102" t="str">
        <x:v>Peer-reviewed journal article</x:v>
      </x:c>
      <x:c r="J5" s="102" t="str">
        <x:v>If #MeToo produces blame, dismissal, and career-ending sanctions, it performs punishment-like work and therefore needs careful fact-finding, precise categories, proportionality, and no credibility rule based on group membership.</x:v>
      </x:c>
      <x:c r="K5" s="102" t="str">
        <x:v>Rejects standpoint-style credibility and punishment without process; it does not reject every feminist political claim.</x:v>
      </x:c>
      <x:c r="L5" s="102" t="str">
        <x:v>NO EVIDENCE</x:v>
      </x:c>
      <x:c r="M5" s="102" t="str">
        <x:v>DIRECT EXPLICIT</x:v>
      </x:c>
      <x:c r="N5" s="103" t="str">
        <x:v>www.doi.org/10.1017/glj.2021.34</x:v>
      </x:c>
    </x:row>
    <x:row r="6" ht="58" customHeight="1">
      <x:c r="A6" s="75" t="n">
        <x:v>2</x:v>
      </x:c>
      <x:c r="B6" s="76" t="n">
        <x:v>2019</x:v>
      </x:c>
      <x:c r="C6" s="76" t="str">
        <x:v>Bruce A. Green and Rebecca Roiphe</x:v>
      </x:c>
      <x:c r="D6" s="76" t="str">
        <x:v>Punishment Without Process: ‘Victim Impact’ Proceedings for Dead Defendants</x:v>
      </x:c>
      <x:c r="E6" s="76" t="str">
        <x:v>OUTSIDE / EXCOMMUNICABLE</x:v>
      </x:c>
      <x:c r="F6" s="76" t="str">
        <x:v>NO EVIDENCE</x:v>
      </x:c>
      <x:c r="G6" s="76" t="str">
        <x:v>REJECTS</x:v>
      </x:c>
      <x:c r="H6" s="76" t="str">
        <x:v>Direct #MeToo critique</x:v>
      </x:c>
      <x:c r="I6" s="76" t="str">
        <x:v>Law review article</x:v>
      </x:c>
      <x:c r="J6" s="76" t="str">
        <x:v>When guilt was never finally adjudicated, courts cannot turn victim-impact proceedings into substitute trials; accusers deserve respectful investigation while credibility and guilt remain individualized factual questions.</x:v>
      </x:c>
      <x:c r="K6" s="76" t="str">
        <x:v>A legal-process analogue rather than a wholesale analysis of #MeToo or feminism.</x:v>
      </x:c>
      <x:c r="L6" s="76" t="str">
        <x:v>NO EVIDENCE</x:v>
      </x:c>
      <x:c r="M6" s="76" t="str">
        <x:v>DIRECT ENTAILMENT</x:v>
      </x:c>
      <x:c r="N6" s="77" t="str">
        <x:v>www.digitalcommons.nyls.edu/fac_articles_chapters/1345/</x:v>
      </x:c>
    </x:row>
    <x:row r="7" ht="58" customHeight="1">
      <x:c r="A7" s="72" t="n">
        <x:v>3</x:v>
      </x:c>
      <x:c r="B7" s="73" t="n">
        <x:v>2018</x:v>
      </x:c>
      <x:c r="C7" s="73" t="str">
        <x:v>Dan Subotnik</x:v>
      </x:c>
      <x:c r="D7" s="73" t="str">
        <x:v>Why Not Believe Women in Sexual Assault Cases?: An Engagement with Professors Tuerkheimer, Colb, and Many Others</x:v>
      </x:c>
      <x:c r="E7" s="73" t="str">
        <x:v>OUTSIDE / EXCOMMUNICABLE</x:v>
      </x:c>
      <x:c r="F7" s="73" t="str">
        <x:v>NO EVIDENCE</x:v>
      </x:c>
      <x:c r="G7" s="73" t="str">
        <x:v>REJECTS</x:v>
      </x:c>
      <x:c r="H7" s="73" t="str">
        <x:v>Direct #MeToo critique</x:v>
      </x:c>
      <x:c r="I7" s="73" t="str">
        <x:v>Law review article</x:v>
      </x:c>
      <x:c r="J7" s="73" t="str">
        <x:v>Sexual-assault reports deserve serious investigation, but being a woman cannot itself create a strong presumption that the accused is guilty.</x:v>
      </x:c>
      <x:c r="K7" s="73" t="str">
        <x:v>A polemical legal critique; rejection of automatic belief does not establish rejection of all feminist testimony scholarship.</x:v>
      </x:c>
      <x:c r="L7" s="73" t="str">
        <x:v>NO EVIDENCE</x:v>
      </x:c>
      <x:c r="M7" s="73" t="str">
        <x:v>DIRECT EXPLICIT</x:v>
      </x:c>
      <x:c r="N7" s="74" t="str">
        <x:v>www.digitalcommons.tourolaw.edu/lawreview/vol34/iss4/11/</x:v>
      </x:c>
    </x:row>
    <x:row r="8" ht="58" customHeight="1">
      <x:c r="A8" s="75" t="n">
        <x:v>4</x:v>
      </x:c>
      <x:c r="B8" s="76" t="n">
        <x:v>2021</x:v>
      </x:c>
      <x:c r="C8" s="76" t="str">
        <x:v>Dan Subotnik</x:v>
      </x:c>
      <x:c r="D8" s="76" t="str">
        <x:v>The Slippery Discourse of Sexual Consent: Feminist Acumen and Feminist Excess</x:v>
      </x:c>
      <x:c r="E8" s="76" t="str">
        <x:v>OUTSIDE / EXCOMMUNICABLE</x:v>
      </x:c>
      <x:c r="F8" s="76" t="str">
        <x:v>NO EVIDENCE</x:v>
      </x:c>
      <x:c r="G8" s="76" t="str">
        <x:v>REJECTS</x:v>
      </x:c>
      <x:c r="H8" s="76" t="str">
        <x:v>Direct #MeToo critique</x:v>
      </x:c>
      <x:c r="I8" s="76" t="str">
        <x:v>Law review article</x:v>
      </x:c>
      <x:c r="J8" s="76" t="str">
        <x:v>Feminist consent reform exposes real abuse, but justice still needs case-level evidence, due process, reliable prevalence claims, and room for women’s sexual power and ambivalence.</x:v>
      </x:c>
      <x:c r="K8" s="76" t="str">
        <x:v>Critiques specific feminist consent arguments rather than proving a single position held by all feminisms.</x:v>
      </x:c>
      <x:c r="L8" s="76" t="str">
        <x:v>NO EVIDENCE</x:v>
      </x:c>
      <x:c r="M8" s="76" t="str">
        <x:v>DIRECT ENTAILMENT</x:v>
      </x:c>
      <x:c r="N8" s="77" t="str">
        <x:v>www.digitalcommons.tourolaw.edu/lawreview/vol37/iss2/10/</x:v>
      </x:c>
    </x:row>
    <x:row r="9" ht="58" customHeight="1">
      <x:c r="A9" s="72" t="n">
        <x:v>5</x:v>
      </x:c>
      <x:c r="B9" s="73" t="n">
        <x:v>2025</x:v>
      </x:c>
      <x:c r="C9" s="73" t="str">
        <x:v>Molly Rosabelle Ackhurst</x:v>
      </x:c>
      <x:c r="D9" s="73" t="str">
        <x:v>Listening, or ‘Led By’? Belief, Innocence and the Risks of a ‘Survivor-Led’ Feminist Politics</x:v>
      </x:c>
      <x:c r="E9" s="73" t="str">
        <x:v>OUTSIDE / EXCOMMUNICABLE</x:v>
      </x:c>
      <x:c r="F9" s="73" t="str">
        <x:v>RETAINS</x:v>
      </x:c>
      <x:c r="G9" s="73" t="str">
        <x:v>RETAINS WITH QUALIFICATION</x:v>
      </x:c>
      <x:c r="H9" s="73" t="str">
        <x:v>Direct #MeToo critique</x:v>
      </x:c>
      <x:c r="I9" s="73" t="str">
        <x:v>Peer-reviewed journal article</x:v>
      </x:c>
      <x:c r="J9" s="73" t="str">
        <x:v>Centering survivors means attentive care, not obeying every survivor demand without question, because automatic deference can reproduce carceral harm.</x:v>
      </x:c>
      <x:c r="K9" s="73" t="str">
        <x:v>An internal feminist critique that crosses the strict outside threshold only on survivor-led epistemic authority, not on every meaning of the personal-is-political premise.</x:v>
      </x:c>
      <x:c r="L9" s="73" t="str">
        <x:v>DIRECT ENTAILMENT</x:v>
      </x:c>
      <x:c r="M9" s="73" t="str">
        <x:v>DIRECT ENTAILMENT</x:v>
      </x:c>
      <x:c r="N9" s="74" t="str">
        <x:v>www.journals.sagepub.com/doi/10.1177/14647001251380418</x:v>
      </x:c>
    </x:row>
    <x:row r="10" ht="58" customHeight="1">
      <x:c r="A10" s="75" t="n">
        <x:v>6</x:v>
      </x:c>
      <x:c r="B10" s="76" t="n">
        <x:v>2022</x:v>
      </x:c>
      <x:c r="C10" s="76" t="str">
        <x:v>David García-Ramos</x:v>
      </x:c>
      <x:c r="D10" s="76" t="str">
        <x:v>#MeToo, o de cómo (no) todos somos víctimas. El hashtag como marca victimaria</x:v>
      </x:c>
      <x:c r="E10" s="76" t="str">
        <x:v>OUTSIDE / EXCOMMUNICABLE</x:v>
      </x:c>
      <x:c r="F10" s="76" t="str">
        <x:v>NO EVIDENCE</x:v>
      </x:c>
      <x:c r="G10" s="76" t="str">
        <x:v>REJECTS</x:v>
      </x:c>
      <x:c r="H10" s="76" t="str">
        <x:v>Direct #MeToo critique</x:v>
      </x:c>
      <x:c r="I10" s="76" t="str">
        <x:v>Peer-reviewed journal article</x:v>
      </x:c>
      <x:c r="J10" s="76" t="str">
        <x:v>The hashtag can turn first-person stories into a contagious victim identity that pre-sorts accusers and accused before individual evaluation.</x:v>
      </x:c>
      <x:c r="K10" s="76" t="str">
        <x:v>Analyzes the hashtag’s discursive operation; it does not by itself establish how every #MeToo institution adjudicates claims.</x:v>
      </x:c>
      <x:c r="L10" s="76" t="str">
        <x:v>NO EVIDENCE</x:v>
      </x:c>
      <x:c r="M10" s="76" t="str">
        <x:v>DIRECT ENTAILMENT</x:v>
      </x:c>
      <x:c r="N10" s="77" t="str">
        <x:v>www.revistas.uva.es/index.php/redd/en/article/view/7115</x:v>
      </x:c>
    </x:row>
    <x:row r="11" ht="58" customHeight="1">
      <x:c r="A11" s="72" t="n">
        <x:v>7</x:v>
      </x:c>
      <x:c r="B11" s="73" t="n">
        <x:v>2019</x:v>
      </x:c>
      <x:c r="C11" s="73" t="str">
        <x:v>Tatjana Hörnle</x:v>
      </x:c>
      <x:c r="D11" s="73" t="str">
        <x:v>#MeToo – Implications for Criminal Law?</x:v>
      </x:c>
      <x:c r="E11" s="73" t="str">
        <x:v>OUTSIDE / EXCOMMUNICABLE</x:v>
      </x:c>
      <x:c r="F11" s="73" t="str">
        <x:v>NO EVIDENCE</x:v>
      </x:c>
      <x:c r="G11" s="73" t="str">
        <x:v>REJECTS</x:v>
      </x:c>
      <x:c r="H11" s="73" t="str">
        <x:v>Direct #MeToo critique</x:v>
      </x:c>
      <x:c r="I11" s="73" t="str">
        <x:v>Law review article</x:v>
      </x:c>
      <x:c r="J11" s="73" t="str">
        <x:v>#MeToo usefully exposes abuse and may justify consent-law reform, but naming and shaming is dangerous informal punishment and accusations still require neutral factual assessment rather than subjective experience deciding truth.</x:v>
      </x:c>
      <x:c r="K11" s="73" t="str">
        <x:v>Accepts parts of #MeToo’s reform agenda while rejecting its use as an evidentiary shortcut.</x:v>
      </x:c>
      <x:c r="L11" s="73" t="str">
        <x:v>NO EVIDENCE</x:v>
      </x:c>
      <x:c r="M11" s="73" t="str">
        <x:v>DIRECT ENTAILMENT</x:v>
      </x:c>
      <x:c r="N11" s="74" t="str">
        <x:v>www.boap.uib.no/index.php/BJCLCJ/article/view/2720</x:v>
      </x:c>
    </x:row>
    <x:row r="12" ht="58" customHeight="1">
      <x:c r="A12" s="75" t="n">
        <x:v>8</x:v>
      </x:c>
      <x:c r="B12" s="76" t="n">
        <x:v>2020</x:v>
      </x:c>
      <x:c r="C12" s="76" t="str">
        <x:v>Alexis A. Adams-Clark and Jennifer J. Freyd</x:v>
      </x:c>
      <x:c r="D12" s="76" t="str">
        <x:v>Questioning Beliefs About Sexual Violence</x:v>
      </x:c>
      <x:c r="E12" s="76" t="str">
        <x:v>OUTSIDE / EXCOMMUNICABLE</x:v>
      </x:c>
      <x:c r="F12" s="76" t="str">
        <x:v>RETAINS</x:v>
      </x:c>
      <x:c r="G12" s="76" t="str">
        <x:v>RETAINS WITH QUALIFICATION</x:v>
      </x:c>
      <x:c r="H12" s="76" t="str">
        <x:v>Direct #MeToo critique</x:v>
      </x:c>
      <x:c r="I12" s="76" t="str">
        <x:v>Peer-reviewed journal article</x:v>
      </x:c>
      <x:c r="J12" s="76" t="str">
        <x:v>Reflexive disbelief and commanded belief can both override survivors’ autonomy; the ethical response is serious listening and evidence-sensitive action rather than belief solely because of gender.</x:v>
      </x:c>
      <x:c r="K12" s="76" t="str">
        <x:v>Rejects automatic belief, not the value of survivor testimony or structural analysis.</x:v>
      </x:c>
      <x:c r="L12" s="76" t="str">
        <x:v>DIRECT ENTAILMENT</x:v>
      </x:c>
      <x:c r="M12" s="76" t="str">
        <x:v>DIRECT ENTAILMENT</x:v>
      </x:c>
      <x:c r="N12" s="77" t="str">
        <x:v>www.doi.org/10.1080/15299732.2020.1789407</x:v>
      </x:c>
    </x:row>
    <x:row r="13" ht="58" customHeight="1">
      <x:c r="A13" s="72" t="n">
        <x:v>9</x:v>
      </x:c>
      <x:c r="B13" s="73" t="n">
        <x:v>2018</x:v>
      </x:c>
      <x:c r="C13" s="73" t="str">
        <x:v>Franco La Cecla</x:v>
      </x:c>
      <x:c r="D13" s="73" t="str">
        <x:v>Therapy of Desire</x:v>
      </x:c>
      <x:c r="E13" s="73" t="str">
        <x:v>OUTSIDE / EXCOMMUNICABLE</x:v>
      </x:c>
      <x:c r="F13" s="73" t="str">
        <x:v>REJECTS</x:v>
      </x:c>
      <x:c r="G13" s="73" t="str">
        <x:v>NO EVIDENCE</x:v>
      </x:c>
      <x:c r="H13" s="73" t="str">
        <x:v>Direct #MeToo critique</x:v>
      </x:c>
      <x:c r="I13" s="73" t="str">
        <x:v>Peer-reviewed journal article</x:v>
      </x:c>
      <x:c r="J13" s="73" t="str">
        <x:v>#MeToo can expose coercion while still making a mistake if it places intimacy and shifting desire under universal public surveillance, replaces relational complexity with stereotypes, and treats sex as generalized suspicion.</x:v>
      </x:c>
      <x:c r="K13" s="73" t="str">
        <x:v>Supported but provisional: the target HAU text was paywalled and was corroborated through Pipyrou’s framing and La Cecla’s own related essay.</x:v>
      </x:c>
      <x:c r="L13" s="73" t="str">
        <x:v>SECONDARY REPORT</x:v>
      </x:c>
      <x:c r="M13" s="73" t="str">
        <x:v>NO EVIDENCE</x:v>
      </x:c>
      <x:c r="N13" s="74" t="str">
        <x:v>www.journals.uchicago.edu/doi/full/10.1086/701009</x:v>
      </x:c>
    </x:row>
    <x:row r="14" ht="58" customHeight="1">
      <x:c r="A14" s="75" t="n">
        <x:v>10</x:v>
      </x:c>
      <x:c r="B14" s="76" t="n">
        <x:v>1992</x:v>
      </x:c>
      <x:c r="C14" s="76" t="str">
        <x:v>Ruth Gavison</x:v>
      </x:c>
      <x:c r="D14" s="76" t="str">
        <x:v>Feminism and the Public/Private Distinction</x:v>
      </x:c>
      <x:c r="E14" s="76" t="str">
        <x:v>OUTSIDE / EXCOMMUNICABLE</x:v>
      </x:c>
      <x:c r="F14" s="76" t="str">
        <x:v>REJECTS</x:v>
      </x:c>
      <x:c r="G14" s="76" t="str">
        <x:v>NO EVIDENCE</x:v>
      </x:c>
      <x:c r="H14" s="76" t="str">
        <x:v>Foundational antecedent</x:v>
      </x:c>
      <x:c r="I14" s="76" t="str">
        <x:v>Law review article</x:v>
      </x:c>
      <x:c r="J14" s="76" t="str">
        <x:v>Feminism should expose abuse and inequality concealed by privacy while preserving private life itself, because making all life publicly inspectable becomes totalizing and destroys goods women also need.</x:v>
      </x:c>
      <x:c r="K14" s="76" t="str">
        <x:v>A pre-#MeToo foundational antecedent, not an article about #MeToo.</x:v>
      </x:c>
      <x:c r="L14" s="76" t="str">
        <x:v>DIRECT EXPLICIT</x:v>
      </x:c>
      <x:c r="M14" s="76" t="str">
        <x:v>NO EVIDENCE</x:v>
      </x:c>
      <x:c r="N14" s="77" t="str">
        <x:v>www.jstor.org/stable/1228984</x:v>
      </x:c>
    </x:row>
    <x:row r="15" ht="58" customHeight="1">
      <x:c r="A15" s="72" t="n">
        <x:v>47</x:v>
      </x:c>
      <x:c r="B15" s="73" t="n">
        <x:v>2018</x:v>
      </x:c>
      <x:c r="C15" s="73" t="str">
        <x:v>One hundred French women, including Catherine Deneuve</x:v>
      </x:c>
      <x:c r="D15" s="73" t="str">
        <x:v>Nous défendons une liberté d’importuner, indispensable à la liberté sexuelle</x:v>
      </x:c>
      <x:c r="E15" s="73" t="str">
        <x:v>OUTSIDE / EXCOMMUNICABLE</x:v>
      </x:c>
      <x:c r="F15" s="73" t="str">
        <x:v>REJECTS</x:v>
      </x:c>
      <x:c r="G15" s="73" t="str">
        <x:v>NO EVIDENCE</x:v>
      </x:c>
      <x:c r="H15" s="73" t="str">
        <x:v>Public intervention</x:v>
      </x:c>
      <x:c r="I15" s="73" t="str">
        <x:v>Newspaper / opinion</x:v>
      </x:c>
      <x:c r="J15" s="73" t="str">
        <x:v>Rape and coercion deserve punishment, but collapsing them with awkward courtship, erotic risk, and private ambiguity turns liberation into puritanical public justice and women into permanent victims.</x:v>
      </x:c>
      <x:c r="K15" s="73" t="str">
        <x:v>A public manifesto rather than an academic article; its signatories do not necessarily share every implication.</x:v>
      </x:c>
      <x:c r="L15" s="73" t="str">
        <x:v>DIRECT ENTAILMENT</x:v>
      </x:c>
      <x:c r="M15" s="73" t="str">
        <x:v>NO EVIDENCE</x:v>
      </x:c>
      <x:c r="N15" s="74" t="str">
        <x:v>www.lemonde.fr/idees/article/2018/01/09/nous-defendons-une-liberte-d-importuner-indispensable-a-la-liberte-sexuelle_5239134_3232.html</x:v>
      </x:c>
    </x:row>
    <x:row r="16" ht="58" customHeight="1">
      <x:c r="A16" s="75" t="n">
        <x:v>48</x:v>
      </x:c>
      <x:c r="B16" s="76" t="n">
        <x:v>2017</x:v>
      </x:c>
      <x:c r="C16" s="76" t="str">
        <x:v>Claire Berlinski</x:v>
      </x:c>
      <x:c r="D16" s="76" t="str">
        <x:v>The Warlock Hunt</x:v>
      </x:c>
      <x:c r="E16" s="76" t="str">
        <x:v>OUTSIDE / EXCOMMUNICABLE</x:v>
      </x:c>
      <x:c r="F16" s="76" t="str">
        <x:v>REJECTS</x:v>
      </x:c>
      <x:c r="G16" s="76" t="str">
        <x:v>REJECTS</x:v>
      </x:c>
      <x:c r="H16" s="76" t="str">
        <x:v>Public intervention</x:v>
      </x:c>
      <x:c r="I16" s="76" t="str">
        <x:v>Newspaper / opinion</x:v>
      </x:c>
      <x:c r="J16" s="76" t="str">
        <x:v>#MeToo exposed real predators, but if accusation and subjective reinterpretation alone can define vague wrongdoing and destroy careers, accountability becomes disproportionate moral panic.</x:v>
      </x:c>
      <x:c r="K16" s="76" t="str">
        <x:v>A magazine essay, not peer-reviewed research.</x:v>
      </x:c>
      <x:c r="L16" s="76" t="str">
        <x:v>DIRECT ENTAILMENT</x:v>
      </x:c>
      <x:c r="M16" s="76" t="str">
        <x:v>DIRECT ENTAILMENT</x:v>
      </x:c>
      <x:c r="N16" s="77" t="str">
        <x:v>www.the-american-interest.com/2017/12/06/the-warlock-hunt/</x:v>
      </x:c>
    </x:row>
    <x:row r="17" ht="58" customHeight="1">
      <x:c r="A17" s="72" t="n">
        <x:v>49</x:v>
      </x:c>
      <x:c r="B17" s="73" t="n">
        <x:v>2018</x:v>
      </x:c>
      <x:c r="C17" s="73" t="str">
        <x:v>Daphne Merkin</x:v>
      </x:c>
      <x:c r="D17" s="73" t="str">
        <x:v>Publicly, We Say #MeToo. Privately, We Have Misgivings</x:v>
      </x:c>
      <x:c r="E17" s="73" t="str">
        <x:v>OUTSIDE / EXCOMMUNICABLE</x:v>
      </x:c>
      <x:c r="F17" s="73" t="str">
        <x:v>REJECTS</x:v>
      </x:c>
      <x:c r="G17" s="73" t="str">
        <x:v>NO EVIDENCE</x:v>
      </x:c>
      <x:c r="H17" s="73" t="str">
        <x:v>Public intervention</x:v>
      </x:c>
      <x:c r="I17" s="73" t="str">
        <x:v>Newspaper / opinion</x:v>
      </x:c>
      <x:c r="J17" s="73" t="str">
        <x:v>Sexism is real, but unclear categories, unproved accusations, corporate sexual moralism, and a permanent-victim script can suppress adult women’s agency and produce unjust punishment.</x:v>
      </x:c>
      <x:c r="K17" s="73" t="str">
        <x:v>An opinion essay and reception specimen, not academic evidence.</x:v>
      </x:c>
      <x:c r="L17" s="73" t="str">
        <x:v>DIRECT ENTAILMENT</x:v>
      </x:c>
      <x:c r="M17" s="73" t="str">
        <x:v>NO EVIDENCE</x:v>
      </x:c>
      <x:c r="N17" s="74" t="str">
        <x:v>www.nytimes.com/2018/01/05/opinion/golden-globes-metoo.html</x:v>
      </x:c>
    </x:row>
    <x:row r="18" ht="58" customHeight="1">
      <x:c r="A18" s="75" t="n">
        <x:v>50</x:v>
      </x:c>
      <x:c r="B18" s="76" t="n">
        <x:v>2017</x:v>
      </x:c>
      <x:c r="C18" s="76" t="str">
        <x:v>Franco La Cecla</x:v>
      </x:c>
      <x:c r="D18" s="76" t="str">
        <x:v>Chi scrive è un maschio</x:v>
      </x:c>
      <x:c r="E18" s="76" t="str">
        <x:v>OUTSIDE / EXCOMMUNICABLE</x:v>
      </x:c>
      <x:c r="F18" s="76" t="str">
        <x:v>REJECTS</x:v>
      </x:c>
      <x:c r="G18" s="76" t="str">
        <x:v>REJECTS</x:v>
      </x:c>
      <x:c r="H18" s="76" t="str">
        <x:v>Public intervention</x:v>
      </x:c>
      <x:c r="I18" s="76" t="str">
        <x:v>Newspaper / opinion</x:v>
      </x:c>
      <x:c r="J18" s="76" t="str">
        <x:v>Condemning coercion does not require turning desire into a tribunal where identity decides who may speak, awkward sexuality becomes violence, and intimate negotiation becomes legal fear.</x:v>
      </x:c>
      <x:c r="K18" s="76" t="str">
        <x:v>A nonacademic essay used to corroborate the paywalled HAU argument, not a substitute for the HAU text.</x:v>
      </x:c>
      <x:c r="L18" s="76" t="str">
        <x:v>DIRECT ENTAILMENT</x:v>
      </x:c>
      <x:c r="M18" s="76" t="str">
        <x:v>DIRECT ENTAILMENT</x:v>
      </x:c>
      <x:c r="N18" s="77" t="str">
        <x:v>www.doppiozero.com/chi-scrive-e-un-maschio</x:v>
      </x:c>
    </x:row>
    <x:row r="19" ht="58" customHeight="1">
      <x:c r="A19" s="72" t="n">
        <x:v>85</x:v>
      </x:c>
      <x:c r="B19" s="73" t="n">
        <x:v>2016</x:v>
      </x:c>
      <x:c r="C19" s="73" t="str">
        <x:v>Jacob E. Gersen and Jeannie Suk Gersen</x:v>
      </x:c>
      <x:c r="D19" s="73" t="str">
        <x:v>The Sex Bureaucracy</x:v>
      </x:c>
      <x:c r="E19" s="73" t="str">
        <x:v>OUTSIDE / EXCOMMUNICABLE</x:v>
      </x:c>
      <x:c r="F19" s="73" t="str">
        <x:v>REJECTS</x:v>
      </x:c>
      <x:c r="G19" s="73" t="str">
        <x:v>NO EVIDENCE</x:v>
      </x:c>
      <x:c r="H19" s="73" t="str">
        <x:v>Foundational antecedent</x:v>
      </x:c>
      <x:c r="I19" s="73" t="str">
        <x:v>Law review article</x:v>
      </x:c>
      <x:c r="J19" s="73" t="str">
        <x:v>Expanded anti-assault governance can end up regulating consensual, harmless sex, collapsing grave misconduct and ordinary intimacy in ways that damage liberty and the reform’s own goals.</x:v>
      </x:c>
      <x:c r="K19" s="73" t="str">
        <x:v>A pre-#MeToo Title IX antecedent; rejects bureaucratic overreach, not all political discussion of sex or all Title IX enforcement.</x:v>
      </x:c>
      <x:c r="L19" s="73" t="str">
        <x:v>DIRECT EXPLICIT</x:v>
      </x:c>
      <x:c r="M19" s="73" t="str">
        <x:v>NO EVIDENCE</x:v>
      </x:c>
      <x:c r="N19" s="74" t="str">
        <x:v>https://lawcat.berkeley.edu/record/1127467</x:v>
      </x:c>
    </x:row>
    <x:row r="20" ht="58" customHeight="1">
      <x:c r="A20" s="75" t="n">
        <x:v>86</x:v>
      </x:c>
      <x:c r="B20" s="76" t="n">
        <x:v>2016</x:v>
      </x:c>
      <x:c r="C20" s="76" t="str">
        <x:v>Janet Halley</x:v>
      </x:c>
      <x:c r="D20" s="76" t="str">
        <x:v>The Move to Affirmative Consent</x:v>
      </x:c>
      <x:c r="E20" s="76" t="str">
        <x:v>OUTSIDE / EXCOMMUNICABLE</x:v>
      </x:c>
      <x:c r="F20" s="76" t="str">
        <x:v>REJECTS</x:v>
      </x:c>
      <x:c r="G20" s="76" t="str">
        <x:v>NO EVIDENCE</x:v>
      </x:c>
      <x:c r="H20" s="76" t="str">
        <x:v>Foundational antecedent</x:v>
      </x:c>
      <x:c r="I20" s="76" t="str">
        <x:v>Peer-reviewed journal article</x:v>
      </x:c>
      <x:c r="J20" s="76" t="str">
        <x:v>A morally attractive consent ideal becomes overinclusive and sex-negative when law turns every departure from it into punishable misconduct.</x:v>
      </x:c>
      <x:c r="K20" s="76" t="str">
        <x:v>A pre-#MeToo consent-law antecedent; critiques affirmative-consent enforcement, not all consent norms or all #MeToo speech.</x:v>
      </x:c>
      <x:c r="L20" s="76" t="str">
        <x:v>DIRECT EXPLICIT</x:v>
      </x:c>
      <x:c r="M20" s="76" t="str">
        <x:v>NO EVIDENCE</x:v>
      </x:c>
      <x:c r="N20" s="77" t="str">
        <x:v>https://signsjournal.org/currents-affirmative-consent/halley/</x:v>
      </x:c>
    </x:row>
    <x:row r="21" ht="58" customHeight="1">
      <x:c r="A21" s="72" t="n">
        <x:v>87</x:v>
      </x:c>
      <x:c r="B21" s="73" t="n">
        <x:v>2015</x:v>
      </x:c>
      <x:c r="C21" s="73" t="str">
        <x:v>Janet Halley</x:v>
      </x:c>
      <x:c r="D21" s="73" t="str">
        <x:v>Trading the Megaphone for the Gavel in Title IX Enforcement</x:v>
      </x:c>
      <x:c r="E21" s="73" t="str">
        <x:v>OUTSIDE / EXCOMMUNICABLE</x:v>
      </x:c>
      <x:c r="F21" s="73" t="str">
        <x:v>NO EVIDENCE</x:v>
      </x:c>
      <x:c r="G21" s="73" t="str">
        <x:v>REJECTS</x:v>
      </x:c>
      <x:c r="H21" s="73" t="str">
        <x:v>Foundational antecedent</x:v>
      </x:c>
      <x:c r="I21" s="73" t="str">
        <x:v>Law review article</x:v>
      </x:c>
      <x:c r="J21" s="73" t="str">
        <x:v>Survivor advocacy can be one-sided, but once advocates investigate and punish, they must test individualized evidence instead of encoding complainant belief or gendered guilt.</x:v>
      </x:c>
      <x:c r="K21" s="73" t="str">
        <x:v>A pre-#MeToo Title IX antecedent; rejects belief as an adjudicative shortcut, not supportive listening or survivor advocacy outside adjudication.</x:v>
      </x:c>
      <x:c r="L21" s="73" t="str">
        <x:v>NO EVIDENCE</x:v>
      </x:c>
      <x:c r="M21" s="73" t="str">
        <x:v>DIRECT EXPLICIT</x:v>
      </x:c>
      <x:c r="N21" s="74" t="str">
        <x:v>https://harvardlawreview.org/forum/vol-128/trading-the-megaphone-for-the-gavel-in-title-ix-enforcement-2/</x:v>
      </x:c>
    </x:row>
    <x:row r="22" ht="58" customHeight="1">
      <x:c r="A22" s="75" t="n">
        <x:v>88</x:v>
      </x:c>
      <x:c r="B22" s="76" t="n">
        <x:v>2016</x:v>
      </x:c>
      <x:c r="C22" s="76" t="str">
        <x:v>Aya Gruber</x:v>
      </x:c>
      <x:c r="D22" s="76" t="str">
        <x:v>Not Affirmative Consent</x:v>
      </x:c>
      <x:c r="E22" s="76" t="str">
        <x:v>OUTSIDE / EXCOMMUNICABLE</x:v>
      </x:c>
      <x:c r="F22" s="76" t="str">
        <x:v>REJECTS</x:v>
      </x:c>
      <x:c r="G22" s="76" t="str">
        <x:v>NO EVIDENCE</x:v>
      </x:c>
      <x:c r="H22" s="76" t="str">
        <x:v>Foundational antecedent</x:v>
      </x:c>
      <x:c r="I22" s="76" t="str">
        <x:v>Law review article</x:v>
      </x:c>
      <x:c r="J22" s="76" t="str">
        <x:v>Criminal law should punish coercion and genuine nonconsent, not turn disputed sexual scripts or aspirations for better sex into crimes.</x:v>
      </x:c>
      <x:c r="K22" s="76" t="str">
        <x:v>A pre-#MeToo antecedent that accepts ordinary consent law and rejects affirmative-consent criminalization rather than all legal regulation.</x:v>
      </x:c>
      <x:c r="L22" s="76" t="str">
        <x:v>DIRECT EXPLICIT</x:v>
      </x:c>
      <x:c r="M22" s="76" t="str">
        <x:v>NO EVIDENCE</x:v>
      </x:c>
      <x:c r="N22" s="77" t="str">
        <x:v>https://scholarlycommons.pacific.edu/uoplawreview/vol47/iss4/8/</x:v>
      </x:c>
    </x:row>
    <x:row r="23" ht="58" customHeight="1">
      <x:c r="A23" s="72" t="n">
        <x:v>89</x:v>
      </x:c>
      <x:c r="B23" s="73" t="n">
        <x:v>2016</x:v>
      </x:c>
      <x:c r="C23" s="73" t="str">
        <x:v>Aya Gruber</x:v>
      </x:c>
      <x:c r="D23" s="73" t="str">
        <x:v>Consent Confusion</x:v>
      </x:c>
      <x:c r="E23" s="73" t="str">
        <x:v>OUTSIDE / EXCOMMUNICABLE</x:v>
      </x:c>
      <x:c r="F23" s="73" t="str">
        <x:v>REJECTS</x:v>
      </x:c>
      <x:c r="G23" s="73" t="str">
        <x:v>NO EVIDENCE</x:v>
      </x:c>
      <x:c r="H23" s="73" t="str">
        <x:v>Foundational antecedent</x:v>
      </x:c>
      <x:c r="I23" s="73" t="str">
        <x:v>Law review article</x:v>
      </x:c>
      <x:c r="J23" s="73" t="str">
        <x:v>Affirmative consent hides contested sexual morality inside a neutral-sounding word, handing broad discretion over ambiguous sex to institutions and prosecutors.</x:v>
      </x:c>
      <x:c r="K23" s="73" t="str">
        <x:v>A pre-#MeToo antecedent; does not reject consent or every affirmative-consent formulation.</x:v>
      </x:c>
      <x:c r="L23" s="73" t="str">
        <x:v>DIRECT ENTAILMENT</x:v>
      </x:c>
      <x:c r="M23" s="73" t="str">
        <x:v>NO EVIDENCE</x:v>
      </x:c>
      <x:c r="N23" s="74" t="str">
        <x:v>https://scholar.law.colorado.edu/faculty-articles/11/</x:v>
      </x:c>
    </x:row>
    <x:row r="24" ht="58" customHeight="1">
      <x:c r="A24" s="75" t="n">
        <x:v>90</x:v>
      </x:c>
      <x:c r="B24" s="76" t="n">
        <x:v>2023</x:v>
      </x:c>
      <x:c r="C24" s="76" t="str">
        <x:v>Aya Gruber</x:v>
      </x:c>
      <x:c r="D24" s="76" t="str">
        <x:v>Sex Exceptionalism in Criminal Law</x:v>
      </x:c>
      <x:c r="E24" s="76" t="str">
        <x:v>OUTSIDE / EXCOMMUNICABLE</x:v>
      </x:c>
      <x:c r="F24" s="76" t="str">
        <x:v>REJECTS</x:v>
      </x:c>
      <x:c r="G24" s="76" t="str">
        <x:v>NO EVIDENCE</x:v>
      </x:c>
      <x:c r="H24" s="76" t="str">
        <x:v>Movement-adjacent</x:v>
      </x:c>
      <x:c r="I24" s="76" t="str">
        <x:v>Law review article</x:v>
      </x:c>
      <x:c r="J24" s="76" t="str">
        <x:v>Treating sexual wrongs as categorically exceptional lets punishment expand from violence to consensual commerce while suspending ordinary liberal and anti-carceral limits.</x:v>
      </x:c>
      <x:c r="K24" s="76" t="str">
        <x:v>Broader criminal-law theory rather than a dedicated #MeToo article; the premise mapping is an entailment from its critique of sex exceptionalism.</x:v>
      </x:c>
      <x:c r="L24" s="76" t="str">
        <x:v>DIRECT ENTAILMENT</x:v>
      </x:c>
      <x:c r="M24" s="76" t="str">
        <x:v>NO EVIDENCE</x:v>
      </x:c>
      <x:c r="N24" s="77" t="str">
        <x:v>https://scholar.law.colorado.edu/faculty-articles/1595/</x:v>
      </x:c>
    </x:row>
    <x:row r="25" ht="58" customHeight="1">
      <x:c r="A25" s="72" t="n">
        <x:v>91</x:v>
      </x:c>
      <x:c r="B25" s="73" t="n">
        <x:v>2018</x:v>
      </x:c>
      <x:c r="C25" s="73" t="str">
        <x:v>Cynthia V. Ward</x:v>
      </x:c>
      <x:c r="D25" s="73" t="str">
        <x:v>Restoring Fairness to Campus Sex Tribunals</x:v>
      </x:c>
      <x:c r="E25" s="73" t="str">
        <x:v>OUTSIDE / EXCOMMUNICABLE</x:v>
      </x:c>
      <x:c r="F25" s="73" t="str">
        <x:v>NO EVIDENCE</x:v>
      </x:c>
      <x:c r="G25" s="73" t="str">
        <x:v>REJECTS</x:v>
      </x:c>
      <x:c r="H25" s="73" t="str">
        <x:v>Movement-adjacent</x:v>
      </x:c>
      <x:c r="I25" s="73" t="str">
        <x:v>Law review article</x:v>
      </x:c>
      <x:c r="J25" s="73" t="str">
        <x:v>Taking sexual assault seriously requires neutral fact-finding, defined offenses, real defense rights, and proportionate penalties because status-based judgment can wrong everyone.</x:v>
      </x:c>
      <x:c r="K25" s="73" t="str">
        <x:v>Rejects status-based adjudicative authority in campus tribunals, not feminist standpoint epistemology in every setting.</x:v>
      </x:c>
      <x:c r="L25" s="73" t="str">
        <x:v>NO EVIDENCE</x:v>
      </x:c>
      <x:c r="M25" s="73" t="str">
        <x:v>DIRECT EXPLICIT</x:v>
      </x:c>
      <x:c r="N25" s="74" t="str">
        <x:v>https://scholarship.law.wm.edu/facpubs/1905/</x:v>
      </x:c>
    </x:row>
    <x:row r="26" ht="58" customHeight="1">
      <x:c r="A26" s="75" t="n">
        <x:v>92</x:v>
      </x:c>
      <x:c r="B26" s="76" t="n">
        <x:v>2021</x:v>
      </x:c>
      <x:c r="C26" s="76" t="str">
        <x:v>Cynthia V. Ward</x:v>
      </x:c>
      <x:c r="D26" s="76" t="str">
        <x:v>Trauma and Memory in the Prosecution of Sexual Assault</x:v>
      </x:c>
      <x:c r="E26" s="76" t="str">
        <x:v>OUTSIDE / EXCOMMUNICABLE</x:v>
      </x:c>
      <x:c r="F26" s="76" t="str">
        <x:v>NO EVIDENCE</x:v>
      </x:c>
      <x:c r="G26" s="76" t="str">
        <x:v>REJECTS</x:v>
      </x:c>
      <x:c r="H26" s="76" t="str">
        <x:v>Movement-adjacent</x:v>
      </x:c>
      <x:c r="I26" s="76" t="str">
        <x:v>Law review article</x:v>
      </x:c>
      <x:c r="J26" s="76" t="str">
        <x:v>Trauma theory should not substitute for fact-testing when the science is unsettled, because it can immunize inconsistent claims and make accurate verdicts less likely.</x:v>
      </x:c>
      <x:c r="K26" s="76" t="str">
        <x:v>Targets forensic use of trauma concepts, not support or therapy and not survivor testimony generally.</x:v>
      </x:c>
      <x:c r="L26" s="76" t="str">
        <x:v>NO EVIDENCE</x:v>
      </x:c>
      <x:c r="M26" s="76" t="str">
        <x:v>DIRECT ENTAILMENT</x:v>
      </x:c>
      <x:c r="N26" s="77" t="str">
        <x:v>https://scholarship.law.wm.edu/facpubs/2048/</x:v>
      </x:c>
    </x:row>
    <x:row r="27" ht="58" customHeight="1">
      <x:c r="A27" s="72" t="n">
        <x:v>93</x:v>
      </x:c>
      <x:c r="B27" s="73" t="n">
        <x:v>2021</x:v>
      </x:c>
      <x:c r="C27" s="73" t="str">
        <x:v>Kimberly Kessler Ferzan</x:v>
      </x:c>
      <x:c r="D27" s="73" t="str">
        <x:v>#BelieveWomen and the Presumption of Innocence: Clarifying the Questions for Law and Life</x:v>
      </x:c>
      <x:c r="E27" s="73" t="str">
        <x:v>OUTSIDE / EXCOMMUNICABLE</x:v>
      </x:c>
      <x:c r="F27" s="73" t="str">
        <x:v>NO EVIDENCE</x:v>
      </x:c>
      <x:c r="G27" s="73" t="str">
        <x:v>REJECTS</x:v>
      </x:c>
      <x:c r="H27" s="73" t="str">
        <x:v>Direct #MeToo critique</x:v>
      </x:c>
      <x:c r="I27" s="73" t="str">
        <x:v>Book chapter</x:v>
      </x:c>
      <x:c r="J27" s="73" t="str">
        <x:v>Law can correct unjust credibility deficits and respect women as knowers while still refusing gendered belief as an adjudicative command when evidence is contested.</x:v>
      </x:c>
      <x:c r="K27" s="73" t="str">
        <x:v>A scholarly book chapter; does not reject every corrective response to testimonial injustice or every nonlegal appeal to trust.</x:v>
      </x:c>
      <x:c r="L27" s="73" t="str">
        <x:v>NO EVIDENCE</x:v>
      </x:c>
      <x:c r="M27" s="73" t="str">
        <x:v>ABSTRACT ONLY</x:v>
      </x:c>
      <x:c r="N27" s="74" t="str">
        <x:v>https://academic.oup.com/nyu-press-scholarship-online/book/42457/chapter-abstract/356722666</x:v>
      </x:c>
    </x:row>
    <x:row r="28" ht="58" customHeight="1">
      <x:c r="A28" s="75" t="n">
        <x:v>94</x:v>
      </x:c>
      <x:c r="B28" s="76" t="n">
        <x:v>2019</x:v>
      </x:c>
      <x:c r="C28" s="76" t="str">
        <x:v>Anne Wagner and Sarah Marusek</x:v>
      </x:c>
      <x:c r="D28" s="76" t="str">
        <x:v>A Cacophony of Speech, Law, and Persona: Battling Against the Vortex of #MeToo in France and the U.S.</x:v>
      </x:c>
      <x:c r="E28" s="76" t="str">
        <x:v>OUTSIDE / EXCOMMUNICABLE</x:v>
      </x:c>
      <x:c r="F28" s="76" t="str">
        <x:v>REJECTS</x:v>
      </x:c>
      <x:c r="G28" s="76" t="str">
        <x:v>REJECTS</x:v>
      </x:c>
      <x:c r="H28" s="76" t="str">
        <x:v>Direct #MeToo critique</x:v>
      </x:c>
      <x:c r="I28" s="76" t="str">
        <x:v>Peer-reviewed journal article</x:v>
      </x:c>
      <x:c r="J28" s="76" t="str">
        <x:v>Hashtag accusation can collapse speech, law, and persona into a reputational tribunal that punishes before evidence has been tested.</x:v>
      </x:c>
      <x:c r="K28" s="76" t="str">
        <x:v>Recognizes #MeToo’s valid awareness function and does not deny proven sexual violence.</x:v>
      </x:c>
      <x:c r="L28" s="76" t="str">
        <x:v>DIRECT ENTAILMENT</x:v>
      </x:c>
      <x:c r="M28" s="76" t="str">
        <x:v>DIRECT ENTAILMENT</x:v>
      </x:c>
      <x:c r="N28" s="77" t="str">
        <x:v>https://digitalcommons.law.lsu.edu/jcls/vol12/iss2/3/</x:v>
      </x:c>
    </x:row>
    <x:row r="29" ht="58" customHeight="1">
      <x:c r="A29" s="72" t="n">
        <x:v>95</x:v>
      </x:c>
      <x:c r="B29" s="73" t="n">
        <x:v>2023</x:v>
      </x:c>
      <x:c r="C29" s="73" t="str">
        <x:v>Brandon T. Hunley and William O’Donohue</x:v>
      </x:c>
      <x:c r="D29" s="73" t="str">
        <x:v>The Psychometric Adequacy of Adult Forensic Interview Protocols for Sexual Assault: a Literature Review</x:v>
      </x:c>
      <x:c r="E29" s="73" t="str">
        <x:v>OUTSIDE / EXCOMMUNICABLE</x:v>
      </x:c>
      <x:c r="F29" s="73" t="str">
        <x:v>NO EVIDENCE</x:v>
      </x:c>
      <x:c r="G29" s="73" t="str">
        <x:v>REJECTS</x:v>
      </x:c>
      <x:c r="H29" s="73" t="str">
        <x:v>Movement-adjacent</x:v>
      </x:c>
      <x:c r="I29" s="73" t="str">
        <x:v>Peer-reviewed journal article</x:v>
      </x:c>
      <x:c r="J29" s="73" t="str">
        <x:v>Sexual-assault interviews can be humane without embedding confirmation bias or unvalidated neuroscience in place of reliable testing and alternative explanations.</x:v>
      </x:c>
      <x:c r="K29" s="73" t="str">
        <x:v>Reviews interview protocols, not survivor testimony or #MeToo as a movement.</x:v>
      </x:c>
      <x:c r="L29" s="73" t="str">
        <x:v>NO EVIDENCE</x:v>
      </x:c>
      <x:c r="M29" s="73" t="str">
        <x:v>ABSTRACT ONLY</x:v>
      </x:c>
      <x:c r="N29" s="74" t="str">
        <x:v>https://link.springer.com/article/10.1007/s11896-022-09558-y</x:v>
      </x:c>
    </x:row>
    <x:row r="30" ht="58" customHeight="1">
      <x:c r="A30" s="75" t="n">
        <x:v>96</x:v>
      </x:c>
      <x:c r="B30" s="76" t="n">
        <x:v>2019</x:v>
      </x:c>
      <x:c r="C30" s="76" t="str">
        <x:v>Christian A. Meissner and Adrienne M. Lyles</x:v>
      </x:c>
      <x:c r="D30" s="76" t="str">
        <x:v>Title IX Investigations: The Importance of Training Investigators in Evidence-Based Approaches to Interviewing</x:v>
      </x:c>
      <x:c r="E30" s="76" t="str">
        <x:v>OUTSIDE / EXCOMMUNICABLE</x:v>
      </x:c>
      <x:c r="F30" s="76" t="str">
        <x:v>NO EVIDENCE</x:v>
      </x:c>
      <x:c r="G30" s="76" t="str">
        <x:v>REJECTS</x:v>
      </x:c>
      <x:c r="H30" s="76" t="str">
        <x:v>Movement-adjacent</x:v>
      </x:c>
      <x:c r="I30" s="76" t="str">
        <x:v>Peer-reviewed journal article</x:v>
      </x:c>
      <x:c r="J30" s="76" t="str">
        <x:v>Investigators can treat complainants empathetically while using scientifically grounded memory retrieval and balanced credibility testing for every party.</x:v>
      </x:c>
      <x:c r="K30" s="76" t="str">
        <x:v>Specific to investigative interviewing; not a rejection of trauma-informed care in support or therapy.</x:v>
      </x:c>
      <x:c r="L30" s="76" t="str">
        <x:v>NO EVIDENCE</x:v>
      </x:c>
      <x:c r="M30" s="76" t="str">
        <x:v>ABSTRACT ONLY</x:v>
      </x:c>
      <x:c r="N30" s="77" t="str">
        <x:v>https://www.sciencedirect.com/science/article/abs/pii/S2211368119300804</x:v>
      </x:c>
    </x:row>
    <x:row r="31" ht="58" customHeight="1">
      <x:c r="A31" s="72" t="n">
        <x:v>97</x:v>
      </x:c>
      <x:c r="B31" s="73" t="n">
        <x:v>2024</x:v>
      </x:c>
      <x:c r="C31" s="73" t="str">
        <x:v>Stuart Waiton</x:v>
      </x:c>
      <x:c r="D31" s="73" t="str">
        <x:v>What do we know about ‘rape myth’ research and the claim that there is ‘overwhelming evidence’ that juries are prejudiced in rape trials?</x:v>
      </x:c>
      <x:c r="E31" s="73" t="str">
        <x:v>OUTSIDE / EXCOMMUNICABLE</x:v>
      </x:c>
      <x:c r="F31" s="73" t="str">
        <x:v>NO EVIDENCE</x:v>
      </x:c>
      <x:c r="G31" s="73" t="str">
        <x:v>REJECTS</x:v>
      </x:c>
      <x:c r="H31" s="73" t="str">
        <x:v>Direct #MeToo critique</x:v>
      </x:c>
      <x:c r="I31" s="73" t="str">
        <x:v>Peer-reviewed journal article</x:v>
      </x:c>
      <x:c r="J31" s="73" t="str">
        <x:v>Research designed to expose anti-victim bias can encode pro-complainant answers and hide wrongful-conviction risk, so sweeping claims require representative evidence.</x:v>
      </x:c>
      <x:c r="K31" s="73" t="str">
        <x:v>Disputes methods and policy inferences; does not deny that genuine rape myths exist.</x:v>
      </x:c>
      <x:c r="L31" s="73" t="str">
        <x:v>NO EVIDENCE</x:v>
      </x:c>
      <x:c r="M31" s="73" t="str">
        <x:v>DIRECT EXPLICIT</x:v>
      </x:c>
      <x:c r="N31" s="74" t="str">
        <x:v>https://journals.sagepub.com/doi/10.1177/13657127231217510</x:v>
      </x:c>
    </x:row>
    <x:row r="32" ht="58" customHeight="1">
      <x:c r="A32" s="75" t="n">
        <x:v>98</x:v>
      </x:c>
      <x:c r="B32" s="76" t="n">
        <x:v>2021</x:v>
      </x:c>
      <x:c r="C32" s="76" t="str">
        <x:v>Marcel Danesi, Laura Ervo, Lukas Kindberg, and Kerstin Nordlöf</x:v>
      </x:c>
      <x:c r="D32" s="76" t="str">
        <x:v>The #MeToo Movement as an e-Discourse: Social and Legal Effects</x:v>
      </x:c>
      <x:c r="E32" s="76" t="str">
        <x:v>OUTSIDE / EXCOMMUNICABLE</x:v>
      </x:c>
      <x:c r="F32" s="76" t="str">
        <x:v>REJECTS</x:v>
      </x:c>
      <x:c r="G32" s="76" t="str">
        <x:v>REJECTS</x:v>
      </x:c>
      <x:c r="H32" s="76" t="str">
        <x:v>Direct #MeToo critique</x:v>
      </x:c>
      <x:c r="I32" s="76" t="str">
        <x:v>Peer-reviewed journal article</x:v>
      </x:c>
      <x:c r="J32" s="76" t="str">
        <x:v>#MeToo can expose structural injustice, but its social-media court can replace evidence, reply rights, proportionality, privacy, and adjudication with irreversible shame.</x:v>
      </x:c>
      <x:c r="K32" s="76" t="str">
        <x:v>Retains collective and structural discourse while rejecting the individualized scandal/tribunal form, not all public disclosure.</x:v>
      </x:c>
      <x:c r="L32" s="76" t="str">
        <x:v>DIRECT EXPLICIT</x:v>
      </x:c>
      <x:c r="M32" s="76" t="str">
        <x:v>DIRECT ENTAILMENT</x:v>
      </x:c>
      <x:c r="N32" s="77" t="str">
        <x:v>https://open.lnu.se/index.php/hn/en/article/view/2881</x:v>
      </x:c>
    </x:row>
    <x:row r="33" ht="58" customHeight="1">
      <x:c r="A33" s="72" t="n">
        <x:v>99</x:v>
      </x:c>
      <x:c r="B33" s="73" t="n">
        <x:v>2023</x:v>
      </x:c>
      <x:c r="C33" s="73" t="str">
        <x:v>Blanca Larrain</x:v>
      </x:c>
      <x:c r="D33" s="73" t="str">
        <x:v>online public shaming as a feminist practice for social change, a double-edged sword for fighting gender violence: the case of the ‘feminist funa’ in Chile</x:v>
      </x:c>
      <x:c r="E33" s="73" t="str">
        <x:v>OUTSIDE / EXCOMMUNICABLE</x:v>
      </x:c>
      <x:c r="F33" s="73" t="str">
        <x:v>REJECTS</x:v>
      </x:c>
      <x:c r="G33" s="73" t="str">
        <x:v>REJECTS</x:v>
      </x:c>
      <x:c r="H33" s="73" t="str">
        <x:v>Direct #MeToo critique</x:v>
      </x:c>
      <x:c r="I33" s="73" t="str">
        <x:v>Peer-reviewed journal article</x:v>
      </x:c>
      <x:c r="J33" s="73" t="str">
        <x:v>Public naming can reveal gender violence, but decentralized feminist punishment can become proof-light, uncontrollable, disproportionate, privacy-invasive, and structurally ineffective.</x:v>
      </x:c>
      <x:c r="K33" s="73" t="str">
        <x:v>An immanent feminist critique that retains testimony, visibility, and structural feminism while rejecting tribunal and victim-status authority.</x:v>
      </x:c>
      <x:c r="L33" s="73" t="str">
        <x:v>DIRECT EXPLICIT</x:v>
      </x:c>
      <x:c r="M33" s="73" t="str">
        <x:v>DIRECT EXPLICIT</x:v>
      </x:c>
      <x:c r="N33" s="74" t="str">
        <x:v>https://journals.sagepub.com/doi/10.1177/01417789231200487</x:v>
      </x:c>
    </x:row>
    <x:row r="34" ht="58" customHeight="1">
      <x:c r="A34" s="75" t="n">
        <x:v>100</x:v>
      </x:c>
      <x:c r="B34" s="76" t="n">
        <x:v>2018</x:v>
      </x:c>
      <x:c r="C34" s="76" t="str">
        <x:v>Dubravka Zarkov and Kathy Davis</x:v>
      </x:c>
      <x:c r="D34" s="76" t="str">
        <x:v>Ambiguities and dilemmas around #MeToo: #ForHow Long and #WhereTo?</x:v>
      </x:c>
      <x:c r="E34" s="76" t="str">
        <x:v>OUTSIDE / EXCOMMUNICABLE</x:v>
      </x:c>
      <x:c r="F34" s="76" t="str">
        <x:v>REJECTS</x:v>
      </x:c>
      <x:c r="G34" s="76" t="str">
        <x:v>NO EVIDENCE</x:v>
      </x:c>
      <x:c r="H34" s="76" t="str">
        <x:v>Direct #MeToo critique</x:v>
      </x:c>
      <x:c r="I34" s="76" t="str">
        <x:v>Academic forum / editorial</x:v>
      </x:c>
      <x:c r="J34" s="76" t="str">
        <x:v>Sexual violence needs collective action, but public accusation should not make an unchosen audience judge guilt, flatten ambiguity, or substitute visible villains for structural change.</x:v>
      </x:c>
      <x:c r="K34" s="76" t="str">
        <x:v>A peer-reviewed editorial dialogue; the authors affirm #MeToo’s awareness value and reject its tribunal mechanism rather than the entire personal-to-political project.</x:v>
      </x:c>
      <x:c r="L34" s="76" t="str">
        <x:v>DIRECT EXPLICIT</x:v>
      </x:c>
      <x:c r="M34" s="76" t="str">
        <x:v>NO EVIDENCE</x:v>
      </x:c>
      <x:c r="N34" s="77" t="str">
        <x:v>https://journals.sagepub.com/doi/10.1177/1350506817749436</x:v>
      </x:c>
    </x:row>
    <x:row r="35" ht="58" customHeight="1">
      <x:c r="A35" s="72" t="n">
        <x:v>101</x:v>
      </x:c>
      <x:c r="B35" s="73" t="n">
        <x:v>2021</x:v>
      </x:c>
      <x:c r="C35" s="73" t="str">
        <x:v>Guy Aitchison and Saladin Meckled-Garcia</x:v>
      </x:c>
      <x:c r="D35" s="73" t="str">
        <x:v>Against Online Public Shaming: Ethical Problems with Mass Social Media</x:v>
      </x:c>
      <x:c r="E35" s="73" t="str">
        <x:v>OUTSIDE / EXCOMMUNICABLE</x:v>
      </x:c>
      <x:c r="F35" s="73" t="str">
        <x:v>REJECTS</x:v>
      </x:c>
      <x:c r="G35" s="73" t="str">
        <x:v>NO EVIDENCE</x:v>
      </x:c>
      <x:c r="H35" s="73" t="str">
        <x:v>Movement-adjacent</x:v>
      </x:c>
      <x:c r="I35" s="73" t="str">
        <x:v>Peer-reviewed journal article</x:v>
      </x:c>
      <x:c r="J35" s="73" t="str">
        <x:v>Mass online shaming mobilizes unconstrained collective power to strip people of standing and relationships without due process, so it is presumptively wrongful.</x:v>
      </x:c>
      <x:c r="K35" s="73" t="str">
        <x:v>General public-shaming theory; the article explicitly treats many #MeToo warnings as fair warning rather than objectionable shaming.</x:v>
      </x:c>
      <x:c r="L35" s="73" t="str">
        <x:v>DIRECT EXPLICIT</x:v>
      </x:c>
      <x:c r="M35" s="73" t="str">
        <x:v>NO EVIDENCE</x:v>
      </x:c>
      <x:c r="N35" s="74" t="str">
        <x:v>https://discovery.ucl.ac.uk/id/eprint/10108618/</x:v>
      </x:c>
    </x:row>
    <x:row r="36" ht="58" customHeight="1">
      <x:c r="A36" s="75" t="n">
        <x:v>102</x:v>
      </x:c>
      <x:c r="B36" s="76" t="n">
        <x:v>2020</x:v>
      </x:c>
      <x:c r="C36" s="76" t="str">
        <x:v>Paul Billingham and Tom Parr</x:v>
      </x:c>
      <x:c r="D36" s="76" t="str">
        <x:v>Online Public Shaming: Virtues and Vices</x:v>
      </x:c>
      <x:c r="E36" s="76" t="str">
        <x:v>OUTSIDE / EXCOMMUNICABLE</x:v>
      </x:c>
      <x:c r="F36" s="76" t="str">
        <x:v>REJECTS</x:v>
      </x:c>
      <x:c r="G36" s="76" t="str">
        <x:v>NO EVIDENCE</x:v>
      </x:c>
      <x:c r="H36" s="76" t="str">
        <x:v>Movement-adjacent</x:v>
      </x:c>
      <x:c r="I36" s="76" t="str">
        <x:v>Peer-reviewed journal article</x:v>
      </x:c>
      <x:c r="J36" s="76" t="str">
        <x:v>Online shaming may enforce valuable norms, but its scale and weak accountability make most actual cases disproportionate and unjustified.</x:v>
      </x:c>
      <x:c r="K36" s="76" t="str">
        <x:v>General public-shaming theory with no verified dedicated #MeToo analysis.</x:v>
      </x:c>
      <x:c r="L36" s="76" t="str">
        <x:v>DIRECT ENTAILMENT</x:v>
      </x:c>
      <x:c r="M36" s="76" t="str">
        <x:v>NO EVIDENCE</x:v>
      </x:c>
      <x:c r="N36" s="77" t="str">
        <x:v>https://ora.ox.ac.uk/objects/uuid:c9face88-3a86-461d-9c4d-86c2672c8a1a</x:v>
      </x:c>
    </x:row>
    <x:row r="37" ht="58" customHeight="1">
      <x:c r="A37" s="72" t="n">
        <x:v>103</x:v>
      </x:c>
      <x:c r="B37" s="73" t="n">
        <x:v>2022</x:v>
      </x:c>
      <x:c r="C37" s="73" t="str">
        <x:v>Harrison Frye</x:v>
      </x:c>
      <x:c r="D37" s="73" t="str">
        <x:v>The Problem of Public Shaming</x:v>
      </x:c>
      <x:c r="E37" s="73" t="str">
        <x:v>OUTSIDE / EXCOMMUNICABLE</x:v>
      </x:c>
      <x:c r="F37" s="73" t="str">
        <x:v>REJECTS</x:v>
      </x:c>
      <x:c r="G37" s="73" t="str">
        <x:v>NO EVIDENCE</x:v>
      </x:c>
      <x:c r="H37" s="73" t="str">
        <x:v>Movement-adjacent</x:v>
      </x:c>
      <x:c r="I37" s="73" t="str">
        <x:v>Peer-reviewed journal article</x:v>
      </x:c>
      <x:c r="J37" s="73" t="str">
        <x:v>Even deserved criticism becomes unjust when platform scale produces predictable error, disproportionality, and alienation.</x:v>
      </x:c>
      <x:c r="K37" s="73" t="str">
        <x:v>General mechanism source; relation to #MeToo is citation-neighbor analogy rather than a movement-specific thesis.</x:v>
      </x:c>
      <x:c r="L37" s="73" t="str">
        <x:v>UNVERIFIED</x:v>
      </x:c>
      <x:c r="M37" s="73" t="str">
        <x:v>NO EVIDENCE</x:v>
      </x:c>
      <x:c r="N37" s="74" t="str">
        <x:v>https://doi.org/10.1111/jopp.12252</x:v>
      </x:c>
    </x:row>
    <x:row r="38" ht="58" customHeight="1">
      <x:c r="A38" s="75" t="n">
        <x:v>104</x:v>
      </x:c>
      <x:c r="B38" s="76" t="n">
        <x:v>2026</x:v>
      </x:c>
      <x:c r="C38" s="76" t="str">
        <x:v>Stephanie Leary</x:v>
      </x:c>
      <x:c r="D38" s="76" t="str">
        <x:v>Moral Encroachment and #BelieveWomen</x:v>
      </x:c>
      <x:c r="E38" s="76" t="str">
        <x:v>OUTSIDE / EXCOMMUNICABLE</x:v>
      </x:c>
      <x:c r="F38" s="76" t="str">
        <x:v>NO EVIDENCE</x:v>
      </x:c>
      <x:c r="G38" s="76" t="str">
        <x:v>REJECTS</x:v>
      </x:c>
      <x:c r="H38" s="76" t="str">
        <x:v>Direct #MeToo critique</x:v>
      </x:c>
      <x:c r="I38" s="76" t="str">
        <x:v>Book chapter</x:v>
      </x:c>
      <x:c r="J38" s="76" t="str">
        <x:v>Even if false disbelief can wrong women, that moral risk cannot itself make a contested allegation epistemically justified.</x:v>
      </x:c>
      <x:c r="K38" s="76" t="str">
        <x:v>A scholarly book-series chapter; argues incompatibility with one moral-encroachment route rather than rejecting every reason to credit testimony.</x:v>
      </x:c>
      <x:c r="L38" s="76" t="str">
        <x:v>NO EVIDENCE</x:v>
      </x:c>
      <x:c r="M38" s="76" t="str">
        <x:v>ABSTRACT ONLY</x:v>
      </x:c>
      <x:c r="N38" s="77" t="str">
        <x:v>https://academic.oup.com/book/61877/chapter/547494695</x:v>
      </x:c>
    </x:row>
    <x:row r="39" ht="58" customHeight="1">
      <x:c r="A39" s="72" t="n">
        <x:v>105</x:v>
      </x:c>
      <x:c r="B39" s="73" t="n">
        <x:v>2021</x:v>
      </x:c>
      <x:c r="C39" s="73" t="str">
        <x:v>Alexandra Gronow</x:v>
      </x:c>
      <x:c r="D39" s="73" t="str">
        <x:v>Identifying victims of sexual harassment in the age of #MeToo: Time for the media to prioritise a victim’s right to privacy</x:v>
      </x:c>
      <x:c r="E39" s="73" t="str">
        <x:v>OUTSIDE / EXCOMMUNICABLE</x:v>
      </x:c>
      <x:c r="F39" s="73" t="str">
        <x:v>REJECTS</x:v>
      </x:c>
      <x:c r="G39" s="73" t="str">
        <x:v>NO EVIDENCE</x:v>
      </x:c>
      <x:c r="H39" s="73" t="str">
        <x:v>Direct #MeToo critique</x:v>
      </x:c>
      <x:c r="I39" s="73" t="str">
        <x:v>Peer-reviewed journal article</x:v>
      </x:c>
      <x:c r="J39" s="73" t="str">
        <x:v>A movement against harassment does not acquire an automatic right to expose the person who reported it; publication should require her consent.</x:v>
      </x:c>
      <x:c r="K39" s="73" t="str">
        <x:v>Protects accusers’ privacy and does not reject voluntary political speech or #MeToo generally.</x:v>
      </x:c>
      <x:c r="L39" s="73" t="str">
        <x:v>ABSTRACT ONLY</x:v>
      </x:c>
      <x:c r="M39" s="73" t="str">
        <x:v>NO EVIDENCE</x:v>
      </x:c>
      <x:c r="N39" s="74" t="str">
        <x:v>https://journals.sagepub.com/doi/abs/10.1177/1037969X211003681</x:v>
      </x:c>
    </x:row>
    <x:row r="40" ht="58" customHeight="1">
      <x:c r="A40" s="75" t="n">
        <x:v>106</x:v>
      </x:c>
      <x:c r="B40" s="76" t="n">
        <x:v>2025</x:v>
      </x:c>
      <x:c r="C40" s="76" t="str">
        <x:v>Amy Gajda</x:v>
      </x:c>
      <x:c r="D40" s="76" t="str">
        <x:v>Becoming private after public allegations: a right to be forgotten for #MeToo accusers in the United States</x:v>
      </x:c>
      <x:c r="E40" s="76" t="str">
        <x:v>OUTSIDE / EXCOMMUNICABLE</x:v>
      </x:c>
      <x:c r="F40" s="76" t="str">
        <x:v>REJECTS</x:v>
      </x:c>
      <x:c r="G40" s="76" t="str">
        <x:v>NO EVIDENCE</x:v>
      </x:c>
      <x:c r="H40" s="76" t="str">
        <x:v>Direct #MeToo critique</x:v>
      </x:c>
      <x:c r="I40" s="76" t="str">
        <x:v>Peer-reviewed journal article</x:v>
      </x:c>
      <x:c r="J40" s="76" t="str">
        <x:v>Public participation in #MeToo should not sentence an accuser to permanent legal public-figure status.</x:v>
      </x:c>
      <x:c r="K40" s="76" t="str">
        <x:v>Protects accusers and proposes a time-limited privacy doctrine rather than rejecting public allegation generally.</x:v>
      </x:c>
      <x:c r="L40" s="76" t="str">
        <x:v>ABSTRACT ONLY</x:v>
      </x:c>
      <x:c r="M40" s="76" t="str">
        <x:v>NO EVIDENCE</x:v>
      </x:c>
      <x:c r="N40" s="77" t="str">
        <x:v>https://www.tandfonline.com/doi/full/10.1080/17577632.2025.2568265</x:v>
      </x:c>
    </x:row>
    <x:row r="41" ht="58" customHeight="1">
      <x:c r="A41" s="72" t="n">
        <x:v>107</x:v>
      </x:c>
      <x:c r="B41" s="73" t="n">
        <x:v>2026</x:v>
      </x:c>
      <x:c r="C41" s="73" t="str">
        <x:v>Fiona Brimblecombe</x:v>
      </x:c>
      <x:c r="D41" s="73" t="str">
        <x:v>Allegations of sexual misconduct, wrongdoing and the ‘public interest’ in media law</x:v>
      </x:c>
      <x:c r="E41" s="73" t="str">
        <x:v>OUTSIDE / EXCOMMUNICABLE</x:v>
      </x:c>
      <x:c r="F41" s="73" t="str">
        <x:v>REJECTS</x:v>
      </x:c>
      <x:c r="G41" s="73" t="str">
        <x:v>NO EVIDENCE</x:v>
      </x:c>
      <x:c r="H41" s="73" t="str">
        <x:v>Direct #MeToo critique</x:v>
      </x:c>
      <x:c r="I41" s="73" t="str">
        <x:v>Peer-reviewed journal article</x:v>
      </x:c>
      <x:c r="J41" s="73" t="str">
        <x:v>The public may legitimately discuss sexual violence, but naming a person as a rapist is not automatically public-interest speech and privacy law still matters.</x:v>
      </x:c>
      <x:c r="K41" s="73" t="str">
        <x:v>Balanced media-law analysis that supports accountability and victims’ privacy rather than blanket secrecy.</x:v>
      </x:c>
      <x:c r="L41" s="73" t="str">
        <x:v>DIRECT EXPLICIT</x:v>
      </x:c>
      <x:c r="M41" s="73" t="str">
        <x:v>NO EVIDENCE</x:v>
      </x:c>
      <x:c r="N41" s="74" t="str">
        <x:v>https://www.tandfonline.com/doi/full/10.1080/17577632.2026.2640307</x:v>
      </x:c>
    </x:row>
    <x:row r="42" ht="58" customHeight="1">
      <x:c r="A42" s="75" t="n">
        <x:v>108</x:v>
      </x:c>
      <x:c r="B42" s="76" t="n">
        <x:v>2018</x:v>
      </x:c>
      <x:c r="C42" s="76" t="str">
        <x:v>Mimi Akel</x:v>
      </x:c>
      <x:c r="D42" s="76" t="str">
        <x:v>The Good, the Bad, and the Evils of the #MeToo Movement’s Sexual Harassment Allegations in Today’s Society: A Cautionary Tale Regarding the Cost of These Claims to the Victims, the Accused, and Beyond</x:v>
      </x:c>
      <x:c r="E42" s="76" t="str">
        <x:v>OUTSIDE / EXCOMMUNICABLE</x:v>
      </x:c>
      <x:c r="F42" s="76" t="str">
        <x:v>REJECTS</x:v>
      </x:c>
      <x:c r="G42" s="76" t="str">
        <x:v>REJECTS</x:v>
      </x:c>
      <x:c r="H42" s="76" t="str">
        <x:v>Direct #MeToo critique</x:v>
      </x:c>
      <x:c r="I42" s="76" t="str">
        <x:v>Law review article</x:v>
      </x:c>
      <x:c r="J42" s="76" t="str">
        <x:v>#MeToo exposed real abuse, but an accusation cannot become a sentence without evidence, defense, calibration, or appeal.</x:v>
      </x:c>
      <x:c r="K42" s="76" t="str">
        <x:v>Student law-review note using press cases; affirms positive effects of #MeToo and is not peer reviewed.</x:v>
      </x:c>
      <x:c r="L42" s="76" t="str">
        <x:v>DIRECT EXPLICIT</x:v>
      </x:c>
      <x:c r="M42" s="76" t="str">
        <x:v>DIRECT EXPLICIT</x:v>
      </x:c>
      <x:c r="N42" s="77" t="str">
        <x:v>https://scholarlycommons.law.cwsl.edu/cwilj/vol49/iss1/6/</x:v>
      </x:c>
    </x:row>
    <x:row r="43" ht="58" customHeight="1">
      <x:c r="A43" s="72" t="n">
        <x:v>109</x:v>
      </x:c>
      <x:c r="B43" s="73" t="n">
        <x:v>2024</x:v>
      </x:c>
      <x:c r="C43" s="73" t="str">
        <x:v>John Scott Lewinski</x:v>
      </x:c>
      <x:c r="D43" s="73" t="str">
        <x:v>Me Too’s two sides</x:v>
      </x:c>
      <x:c r="E43" s="73" t="str">
        <x:v>OUTSIDE / EXCOMMUNICABLE</x:v>
      </x:c>
      <x:c r="F43" s="73" t="str">
        <x:v>REJECTS</x:v>
      </x:c>
      <x:c r="G43" s="73" t="str">
        <x:v>REJECTS</x:v>
      </x:c>
      <x:c r="H43" s="73" t="str">
        <x:v>Direct #MeToo critique</x:v>
      </x:c>
      <x:c r="I43" s="73" t="str">
        <x:v>Academic forum / editorial</x:v>
      </x:c>
      <x:c r="J43" s="73" t="str">
        <x:v>#MeToo can expose abuse and also permanently marginalize people whom an evidence-free accusation wrongly targets.</x:v>
      </x:c>
      <x:c r="K43" s="73" t="str">
        <x:v>Two-page academic-journal commentary/interview rather than a research article.</x:v>
      </x:c>
      <x:c r="L43" s="73" t="str">
        <x:v>DIRECT EXPLICIT</x:v>
      </x:c>
      <x:c r="M43" s="73" t="str">
        <x:v>DIRECT EXPLICIT</x:v>
      </x:c>
      <x:c r="N43" s="74" t="str">
        <x:v>https://journals.sagepub.com/doi/full/10.1177/03064220241274943</x:v>
      </x:c>
    </x:row>
    <x:row r="44" ht="58" customHeight="1">
      <x:c r="A44" s="75" t="n">
        <x:v>110</x:v>
      </x:c>
      <x:c r="B44" s="76" t="n">
        <x:v>2019</x:v>
      </x:c>
      <x:c r="C44" s="76" t="str">
        <x:v>Rajiv Gupta, Arunima Gupta, and Dharmender Nehra</x:v>
      </x:c>
      <x:c r="D44" s="76" t="str">
        <x:v>Going Forward with #MeToo Movement: Towards a Safer Work Environment</x:v>
      </x:c>
      <x:c r="E44" s="76" t="str">
        <x:v>OUTSIDE / EXCOMMUNICABLE</x:v>
      </x:c>
      <x:c r="F44" s="76" t="str">
        <x:v>REJECTS</x:v>
      </x:c>
      <x:c r="G44" s="76" t="str">
        <x:v>REJECTS</x:v>
      </x:c>
      <x:c r="H44" s="76" t="str">
        <x:v>Direct #MeToo critique</x:v>
      </x:c>
      <x:c r="I44" s="76" t="str">
        <x:v>Academic forum / editorial</x:v>
      </x:c>
      <x:c r="J44" s="76" t="str">
        <x:v>A safer workplace needs serious investigation of every disclosure, not instant social conviction—and proven false charges also require accountability.</x:v>
      </x:c>
      <x:c r="K44" s="76" t="str">
        <x:v>Supports the movement overall; likely commentary rather than a full empirical research article.</x:v>
      </x:c>
      <x:c r="L44" s="76" t="str">
        <x:v>DIRECT EXPLICIT</x:v>
      </x:c>
      <x:c r="M44" s="76" t="str">
        <x:v>DIRECT EXPLICIT</x:v>
      </x:c>
      <x:c r="N44" s="77" t="str">
        <x:v>https://journals.sagepub.com/doi/10.1177/2631831819862087</x:v>
      </x:c>
    </x:row>
    <x:row r="45" ht="58" customHeight="1">
      <x:c r="A45" s="72" t="n">
        <x:v>111</x:v>
      </x:c>
      <x:c r="B45" s="73" t="n">
        <x:v>2022</x:v>
      </x:c>
      <x:c r="C45" s="73" t="str">
        <x:v>Chantal van den Berg and Marleen Gorissen</x:v>
      </x:c>
      <x:c r="D45" s="73" t="str">
        <x:v>Slachtofferschap, e-shaming en #MeToo: een onderzoek naar de rol van e-shaming binnen de Nederlandse #MeToo-beweging</x:v>
      </x:c>
      <x:c r="E45" s="73" t="str">
        <x:v>OUTSIDE / EXCOMMUNICABLE</x:v>
      </x:c>
      <x:c r="F45" s="73" t="str">
        <x:v>REJECTS</x:v>
      </x:c>
      <x:c r="G45" s="73" t="str">
        <x:v>NO EVIDENCE</x:v>
      </x:c>
      <x:c r="H45" s="73" t="str">
        <x:v>Direct #MeToo critique</x:v>
      </x:c>
      <x:c r="I45" s="73" t="str">
        <x:v>Peer-reviewed journal article</x:v>
      </x:c>
      <x:c r="J45" s="73" t="str">
        <x:v>Even if Dutch #MeToo e-shaming is rare and its measured harms limited, the practice remains ethically wrongful.</x:v>
      </x:c>
      <x:c r="K45" s="73" t="str">
        <x:v>The study finds very limited prevalence and consequences and does not attack testimony or #MeToo generally.</x:v>
      </x:c>
      <x:c r="L45" s="73" t="str">
        <x:v>ABSTRACT ONLY</x:v>
      </x:c>
      <x:c r="M45" s="73" t="str">
        <x:v>NO EVIDENCE</x:v>
      </x:c>
      <x:c r="N45" s="74" t="str">
        <x:v>https://doi.org/10.5553/JV/016758502022008004005</x:v>
      </x:c>
    </x:row>
    <x:row r="46" ht="58" customHeight="1">
      <x:c r="A46" s="75" t="n">
        <x:v>112</x:v>
      </x:c>
      <x:c r="B46" s="76" t="n">
        <x:v>2022</x:v>
      </x:c>
      <x:c r="C46" s="76" t="str">
        <x:v>Marjan Olfers and Anton van Wijk</x:v>
      </x:c>
      <x:c r="D46" s="76" t="str">
        <x:v>Uit de praktijk: de schaduwkanten van de #MeToo-beweging</x:v>
      </x:c>
      <x:c r="E46" s="76" t="str">
        <x:v>OUTSIDE / EXCOMMUNICABLE</x:v>
      </x:c>
      <x:c r="F46" s="76" t="str">
        <x:v>REJECTS</x:v>
      </x:c>
      <x:c r="G46" s="76" t="str">
        <x:v>REJECTS</x:v>
      </x:c>
      <x:c r="H46" s="76" t="str">
        <x:v>Direct #MeToo critique</x:v>
      </x:c>
      <x:c r="I46" s="76" t="str">
        <x:v>Peer-reviewed journal article</x:v>
      </x:c>
      <x:c r="J46" s="76" t="str">
        <x:v>#MeToo’s net good does not excuse vague standards, hearsay, guilt by association, or investigations that do not fairly hear both sides.</x:v>
      </x:c>
      <x:c r="K46" s="76" t="str">
        <x:v>The authors say the movement’s impact is mostly positive; the source rejects procedural and credibility shortcuts rather than the entire movement.</x:v>
      </x:c>
      <x:c r="L46" s="76" t="str">
        <x:v>DIRECT ENTAILMENT</x:v>
      </x:c>
      <x:c r="M46" s="76" t="str">
        <x:v>DIRECT ENTAILMENT</x:v>
      </x:c>
      <x:c r="N46" s="77" t="str">
        <x:v>https://research.vu.nl/en/publications/uit-de-praktijk-de-schaduwkanten-van-de-metoo-beweging/</x:v>
      </x:c>
    </x:row>
    <x:row r="47" ht="58" customHeight="1">
      <x:c r="A47" s="72" t="n">
        <x:v>113</x:v>
      </x:c>
      <x:c r="B47" s="73" t="n">
        <x:v>2022</x:v>
      </x:c>
      <x:c r="C47" s="73" t="str">
        <x:v>Eveline E. Schippers, Larissa M. Hoogsteder, and Nienke Sweers</x:v>
      </x:c>
      <x:c r="D47" s="73" t="str">
        <x:v>Wat betekent #MeToo voor de behandeling en positie van plegers van seksueel grensoverschrijdend gedrag?</x:v>
      </x:c>
      <x:c r="E47" s="73" t="str">
        <x:v>OUTSIDE / EXCOMMUNICABLE</x:v>
      </x:c>
      <x:c r="F47" s="73" t="str">
        <x:v>REJECTS</x:v>
      </x:c>
      <x:c r="G47" s="73" t="str">
        <x:v>NO EVIDENCE</x:v>
      </x:c>
      <x:c r="H47" s="73" t="str">
        <x:v>Direct #MeToo critique</x:v>
      </x:c>
      <x:c r="I47" s="73" t="str">
        <x:v>Peer-reviewed journal article</x:v>
      </x:c>
      <x:c r="J47" s="73" t="str">
        <x:v>Public condemnation can worsen risk factors and sabotage treatment and reintegration, so accountability must be objective and proportionate.</x:v>
      </x:c>
      <x:c r="K47" s="73" t="str">
        <x:v>Focuses on offenders’ treatment and reintegration; does not reject public discussion or complainant testimony.</x:v>
      </x:c>
      <x:c r="L47" s="73" t="str">
        <x:v>DIRECT EXPLICIT</x:v>
      </x:c>
      <x:c r="M47" s="73" t="str">
        <x:v>NO EVIDENCE</x:v>
      </x:c>
      <x:c r="N47" s="74" t="str">
        <x:v>https://doi.org/10.5553/JV/016758502022008004004</x:v>
      </x:c>
    </x:row>
    <x:row r="48" ht="58" customHeight="1">
      <x:c r="A48" s="75" t="n">
        <x:v>114</x:v>
      </x:c>
      <x:c r="B48" s="76" t="n">
        <x:v>2021</x:v>
      </x:c>
      <x:c r="C48" s="76" t="str">
        <x:v>Martina Althoff</x:v>
      </x:c>
      <x:c r="D48" s="76" t="str">
        <x:v>Naming and shaming seksueel geweld – #MeToo als politieke beweging?</x:v>
      </x:c>
      <x:c r="E48" s="76" t="str">
        <x:v>OUTSIDE / EXCOMMUNICABLE</x:v>
      </x:c>
      <x:c r="F48" s="76" t="str">
        <x:v>REJECTS</x:v>
      </x:c>
      <x:c r="G48" s="76" t="str">
        <x:v>NO EVIDENCE</x:v>
      </x:c>
      <x:c r="H48" s="76" t="str">
        <x:v>Direct #MeToo critique</x:v>
      </x:c>
      <x:c r="I48" s="76" t="str">
        <x:v>Peer-reviewed journal article</x:v>
      </x:c>
      <x:c r="J48" s="76" t="str">
        <x:v>Making sexual violence discussable matters, but neither criminal punishment nor public naming fixes structural causes; both can reproduce punitive control.</x:v>
      </x:c>
      <x:c r="K48" s="76" t="str">
        <x:v>The conclusion explicitly retains #MeToo’s deprivatizing political project and rejects the naming-and-shaming instrument rather than the full personal-is-political axiom.</x:v>
      </x:c>
      <x:c r="L48" s="76" t="str">
        <x:v>DIRECT EXPLICIT</x:v>
      </x:c>
      <x:c r="M48" s="76" t="str">
        <x:v>NO EVIDENCE</x:v>
      </x:c>
      <x:c r="N48" s="77" t="str">
        <x:v>https://research.rug.nl/en/publications/naming-and-shaming-seksueel-geweld-metoo-als-politieke-beweging/</x:v>
      </x:c>
    </x:row>
    <x:row r="49" ht="58" customHeight="1">
      <x:c r="A49" s="72" t="n">
        <x:v>115</x:v>
      </x:c>
      <x:c r="B49" s="73" t="n">
        <x:v>2025</x:v>
      </x:c>
      <x:c r="C49" s="73" t="str">
        <x:v>Alejandra Castillo Ara</x:v>
      </x:c>
      <x:c r="D49" s="73" t="str">
        <x:v>Use and Abuse of Social Media as a Punitive Remedy in Light of Criminal Law: A Tool or a Court? Analysis of the Chilean Regulation</x:v>
      </x:c>
      <x:c r="E49" s="73" t="str">
        <x:v>OUTSIDE / EXCOMMUNICABLE</x:v>
      </x:c>
      <x:c r="F49" s="73" t="str">
        <x:v>REJECTS</x:v>
      </x:c>
      <x:c r="G49" s="73" t="str">
        <x:v>NO EVIDENCE</x:v>
      </x:c>
      <x:c r="H49" s="73" t="str">
        <x:v>Movement-adjacent</x:v>
      </x:c>
      <x:c r="I49" s="73" t="str">
        <x:v>Peer-reviewed journal article</x:v>
      </x:c>
      <x:c r="J49" s="73" t="str">
        <x:v>Digital empowerment becomes a court of punishment when it exposes people’s data for alleged crimes or merely disapproved conduct.</x:v>
      </x:c>
      <x:c r="K49" s="73" t="str">
        <x:v>Broader than #MeToo and mainly a Chilean funa/doxing law article; #MeToo appears in the framing and references.</x:v>
      </x:c>
      <x:c r="L49" s="73" t="str">
        <x:v>ABSTRACT ONLY</x:v>
      </x:c>
      <x:c r="M49" s="73" t="str">
        <x:v>NO EVIDENCE</x:v>
      </x:c>
      <x:c r="N49" s="74" t="str">
        <x:v>https://journals.sagepub.com/doi/abs/10.1177/08944393241252639</x:v>
      </x:c>
    </x:row>
    <x:row r="50" ht="58" customHeight="1">
      <x:c r="A50" s="75" t="n">
        <x:v>116</x:v>
      </x:c>
      <x:c r="B50" s="76" t="n">
        <x:v>2020</x:v>
      </x:c>
      <x:c r="C50" s="76" t="str">
        <x:v>Ivana Guadalupe Jancik</x:v>
      </x:c>
      <x:c r="D50" s="76" t="str">
        <x:v>Feminismo y punitivismo. Análisis del surgimiento de funas a varones en Argentina</x:v>
      </x:c>
      <x:c r="E50" s="76" t="str">
        <x:v>OUTSIDE / EXCOMMUNICABLE</x:v>
      </x:c>
      <x:c r="F50" s="76" t="str">
        <x:v>REJECTS</x:v>
      </x:c>
      <x:c r="G50" s="76" t="str">
        <x:v>NO EVIDENCE</x:v>
      </x:c>
      <x:c r="H50" s="76" t="str">
        <x:v>Movement-adjacent</x:v>
      </x:c>
      <x:c r="I50" s="76" t="str">
        <x:v>Other</x:v>
      </x:c>
      <x:c r="J50" s="76" t="str">
        <x:v>Women’s distrust of police and courts explains feminist funas, but copying the state’s punitive machinery outside the state carries the same dangers.</x:v>
      </x:c>
      <x:c r="K50" s="76" t="str">
        <x:v>Exploratory and descriptive; peer-review status was not independently verified; no DOI found; not explicitly a #MeToo article.</x:v>
      </x:c>
      <x:c r="L50" s="76" t="str">
        <x:v>ABSTRACT ONLY</x:v>
      </x:c>
      <x:c r="M50" s="76" t="str">
        <x:v>NO EVIDENCE</x:v>
      </x:c>
      <x:c r="N50" s="77" t="str">
        <x:v>https://revistanemesis.uchile.cl/index.php/RN/article/view/61747</x:v>
      </x:c>
    </x:row>
    <x:row r="51" ht="58" customHeight="1">
      <x:c r="A51" s="72" t="n">
        <x:v>117</x:v>
      </x:c>
      <x:c r="B51" s="73" t="n">
        <x:v>2006</x:v>
      </x:c>
      <x:c r="C51" s="73" t="str">
        <x:v>William O’Donohue and Adrian H. Bowers</x:v>
      </x:c>
      <x:c r="D51" s="73" t="str">
        <x:v>Pathways to false allegations of sexual harassment</x:v>
      </x:c>
      <x:c r="E51" s="73" t="str">
        <x:v>OUTSIDE / EXCOMMUNICABLE</x:v>
      </x:c>
      <x:c r="F51" s="73" t="str">
        <x:v>NO EVIDENCE</x:v>
      </x:c>
      <x:c r="G51" s="73" t="str">
        <x:v>REJECTS</x:v>
      </x:c>
      <x:c r="H51" s="73" t="str">
        <x:v>Foundational antecedent</x:v>
      </x:c>
      <x:c r="I51" s="73" t="str">
        <x:v>Peer-reviewed journal article</x:v>
      </x:c>
      <x:c r="J51" s="73" t="str">
        <x:v>Because harassment cases often lack witnesses or hard evidence, investigators must consider multiple routes to false or mistaken allegations instead of presuming every claim true.</x:v>
      </x:c>
      <x:c r="K51" s="73" t="str">
        <x:v>Pre-#MeToo; its typology includes controversial psychiatric and pathologizing categories and is not prevalence evidence.</x:v>
      </x:c>
      <x:c r="L51" s="73" t="str">
        <x:v>NO EVIDENCE</x:v>
      </x:c>
      <x:c r="M51" s="73" t="str">
        <x:v>ABSTRACT ONLY</x:v>
      </x:c>
      <x:c r="N51" s="74" t="str">
        <x:v>https://onlinelibrary.wiley.com/doi/10.1002/jip.43</x:v>
      </x:c>
    </x:row>
    <x:row r="52" ht="58" customHeight="1">
      <x:c r="A52" s="75" t="n">
        <x:v>118</x:v>
      </x:c>
      <x:c r="B52" s="76" t="n">
        <x:v>2025</x:v>
      </x:c>
      <x:c r="C52" s="76" t="str">
        <x:v>David Rolph</x:v>
      </x:c>
      <x:c r="D52" s="76" t="str">
        <x:v>Truth as a defence: defamation, contempt, confidence, privacy</x:v>
      </x:c>
      <x:c r="E52" s="76" t="str">
        <x:v>OUTSIDE / EXCOMMUNICABLE</x:v>
      </x:c>
      <x:c r="F52" s="76" t="str">
        <x:v>REJECTS</x:v>
      </x:c>
      <x:c r="G52" s="76" t="str">
        <x:v>NO EVIDENCE</x:v>
      </x:c>
      <x:c r="H52" s="76" t="str">
        <x:v>Movement-adjacent</x:v>
      </x:c>
      <x:c r="I52" s="76" t="str">
        <x:v>Peer-reviewed journal article</x:v>
      </x:c>
      <x:c r="J52" s="76" t="str">
        <x:v>Even a true allegation can unlawfully invade privacy; factual truth does not erase every boundary against publication.</x:v>
      </x:c>
      <x:c r="K52" s="76" t="str">
        <x:v>General doctrinal article in a relevant special issue rather than a dedicated #MeToo critique.</x:v>
      </x:c>
      <x:c r="L52" s="76" t="str">
        <x:v>DIRECT EXPLICIT</x:v>
      </x:c>
      <x:c r="M52" s="76" t="str">
        <x:v>NO EVIDENCE</x:v>
      </x:c>
      <x:c r="N52" s="77" t="str">
        <x:v>https://www.tandfonline.com/doi/full/10.1080/17577632.2025.2567732</x:v>
      </x:c>
    </x:row>
    <x:row r="53" ht="58" customHeight="1">
      <x:c r="A53" s="72" t="n">
        <x:v>119</x:v>
      </x:c>
      <x:c r="B53" s="73" t="n">
        <x:v>2018</x:v>
      </x:c>
      <x:c r="C53" s="73" t="str">
        <x:v>Linda Clarke</x:v>
      </x:c>
      <x:c r="D53" s="73" t="str">
        <x:v>Sexual relationships and sexual conduct in the workplace</x:v>
      </x:c>
      <x:c r="E53" s="73" t="str">
        <x:v>OUTSIDE / EXCOMMUNICABLE</x:v>
      </x:c>
      <x:c r="F53" s="73" t="str">
        <x:v>REJECTS</x:v>
      </x:c>
      <x:c r="G53" s="73" t="str">
        <x:v>NO EVIDENCE</x:v>
      </x:c>
      <x:c r="H53" s="73" t="str">
        <x:v>Foundational antecedent</x:v>
      </x:c>
      <x:c r="I53" s="73" t="str">
        <x:v>Peer-reviewed journal article</x:v>
      </x:c>
      <x:c r="J53" s="73" t="str">
        <x:v>Employers cannot treat all consensual workplace intimacy as organizational property; privacy and equality constrain managerial control.</x:v>
      </x:c>
      <x:c r="K53" s="73" t="str">
        <x:v>Not a #MeToo article and not about coercive misconduct; the exact DOI was not verified.</x:v>
      </x:c>
      <x:c r="L53" s="73" t="str">
        <x:v>ABSTRACT ONLY</x:v>
      </x:c>
      <x:c r="M53" s="73" t="str">
        <x:v>NO EVIDENCE</x:v>
      </x:c>
      <x:c r="N53" s="74" t="str">
        <x:v>https://www.cambridge.org/core/journals/legal-studies/article/sexual-relationships-and-sexual-conduct-in-the-workplace/6DD909FC4DDCD01BE8AD725C75FA8855</x:v>
      </x:c>
    </x:row>
    <x:row r="54" ht="58" customHeight="1">
      <x:c r="A54" s="75" t="n">
        <x:v>120</x:v>
      </x:c>
      <x:c r="B54" s="76" t="n">
        <x:v>2008</x:v>
      </x:c>
      <x:c r="C54" s="76" t="str">
        <x:v>Virginia Mantouvalou</x:v>
      </x:c>
      <x:c r="D54" s="76" t="str">
        <x:v>Human Rights and Unfair Dismissal: Private Acts in Public Spaces</x:v>
      </x:c>
      <x:c r="E54" s="76" t="str">
        <x:v>OUTSIDE / EXCOMMUNICABLE</x:v>
      </x:c>
      <x:c r="F54" s="76" t="str">
        <x:v>REJECTS</x:v>
      </x:c>
      <x:c r="G54" s="76" t="str">
        <x:v>NO EVIDENCE</x:v>
      </x:c>
      <x:c r="H54" s="76" t="str">
        <x:v>Foundational antecedent</x:v>
      </x:c>
      <x:c r="I54" s="76" t="str">
        <x:v>Peer-reviewed journal article</x:v>
      </x:c>
      <x:c r="J54" s="76" t="str">
        <x:v>An employer should not punish lawful private conduct unless it creates a concrete, serious workplace harm.</x:v>
      </x:c>
      <x:c r="K54" s="76" t="str">
        <x:v>General employment and privacy theory, not sexual-misconduct allegations or #MeToo.</x:v>
      </x:c>
      <x:c r="L54" s="76" t="str">
        <x:v>ABSTRACT ONLY</x:v>
      </x:c>
      <x:c r="M54" s="76" t="str">
        <x:v>NO EVIDENCE</x:v>
      </x:c>
      <x:c r="N54" s="77" t="str">
        <x:v>https://onlinelibrary.wiley.com/doi/abs/10.1111/j.1468-2230.2008.00722.x</x:v>
      </x:c>
    </x:row>
    <x:row r="55" ht="58" customHeight="1">
      <x:c r="A55" s="72" t="n">
        <x:v>121</x:v>
      </x:c>
      <x:c r="B55" s="73" t="n">
        <x:v>2020</x:v>
      </x:c>
      <x:c r="C55" s="73" t="str">
        <x:v>Susan A. Jacobsen</x:v>
      </x:c>
      <x:c r="D55" s="73" t="str">
        <x:v>Private Affairs: Public Employees and the Right to Sexual Privacy</x:v>
      </x:c>
      <x:c r="E55" s="73" t="str">
        <x:v>OUTSIDE / EXCOMMUNICABLE</x:v>
      </x:c>
      <x:c r="F55" s="73" t="str">
        <x:v>REJECTS</x:v>
      </x:c>
      <x:c r="G55" s="73" t="str">
        <x:v>NO EVIDENCE</x:v>
      </x:c>
      <x:c r="H55" s="73" t="str">
        <x:v>Foundational antecedent</x:v>
      </x:c>
      <x:c r="I55" s="73" t="str">
        <x:v>Law review article</x:v>
      </x:c>
      <x:c r="J55" s="73" t="str">
        <x:v>Working for the state does not surrender one’s right to lawful off-duty sexual privacy.</x:v>
      </x:c>
      <x:c r="K55" s="73" t="str">
        <x:v>Not about harassment, disputed allegations, or #MeToo; law review rather than peer-reviewed journal scholarship.</x:v>
      </x:c>
      <x:c r="L55" s="73" t="str">
        <x:v>ABSTRACT ONLY</x:v>
      </x:c>
      <x:c r="M55" s="73" t="str">
        <x:v>NO EVIDENCE</x:v>
      </x:c>
      <x:c r="N55" s="74" t="str">
        <x:v>https://engagedscholarship.csuohio.edu/clevstlrev/vol68/iss4/6/</x:v>
      </x:c>
    </x:row>
    <x:row r="56" ht="58" customHeight="1">
      <x:c r="A56" s="75" t="n">
        <x:v>122</x:v>
      </x:c>
      <x:c r="B56" s="76" t="n">
        <x:v>2017</x:v>
      </x:c>
      <x:c r="C56" s="76" t="str">
        <x:v>Emily B. Laidlaw</x:v>
      </x:c>
      <x:c r="D56" s="76" t="str">
        <x:v>Online Shaming and the Right to Privacy</x:v>
      </x:c>
      <x:c r="E56" s="76" t="str">
        <x:v>OUTSIDE / EXCOMMUNICABLE</x:v>
      </x:c>
      <x:c r="F56" s="76" t="str">
        <x:v>REJECTS</x:v>
      </x:c>
      <x:c r="G56" s="76" t="str">
        <x:v>NO EVIDENCE</x:v>
      </x:c>
      <x:c r="H56" s="76" t="str">
        <x:v>Foundational antecedent</x:v>
      </x:c>
      <x:c r="I56" s="76" t="str">
        <x:v>Peer-reviewed journal article</x:v>
      </x:c>
      <x:c r="J56" s="76" t="str">
        <x:v>Online crowds turn criticism into immediate, worldwide, permanent punishment, so even public information can retain a privacy claim.</x:v>
      </x:c>
      <x:c r="K56" s="76" t="str">
        <x:v>General and pre-#MeToo; establishes the mechanism rather than a movement-specific conclusion.</x:v>
      </x:c>
      <x:c r="L56" s="76" t="str">
        <x:v>DIRECT EXPLICIT</x:v>
      </x:c>
      <x:c r="M56" s="76" t="str">
        <x:v>NO EVIDENCE</x:v>
      </x:c>
      <x:c r="N56" s="77" t="str">
        <x:v>https://www.mdpi.com/2075-471X/6/1/3</x:v>
      </x:c>
    </x:row>
    <x:row r="57" ht="58" customHeight="1">
      <x:c r="A57" s="72" t="n">
        <x:v>123</x:v>
      </x:c>
      <x:c r="B57" s="73" t="n">
        <x:v>2022</x:v>
      </x:c>
      <x:c r="C57" s="73" t="str">
        <x:v>Harrison Frye</x:v>
      </x:c>
      <x:c r="D57" s="73" t="str">
        <x:v>The Technology of Public Shaming</x:v>
      </x:c>
      <x:c r="E57" s="73" t="str">
        <x:v>OUTSIDE / EXCOMMUNICABLE</x:v>
      </x:c>
      <x:c r="F57" s="73" t="str">
        <x:v>REJECTS</x:v>
      </x:c>
      <x:c r="G57" s="73" t="str">
        <x:v>NO EVIDENCE</x:v>
      </x:c>
      <x:c r="H57" s="73" t="str">
        <x:v>Movement-adjacent</x:v>
      </x:c>
      <x:c r="I57" s="73" t="str">
        <x:v>Peer-reviewed journal article</x:v>
      </x:c>
      <x:c r="J57" s="73" t="str">
        <x:v>Platforms turn norm enforcement into exclusionary shame that corrodes the cooperation moral correction was supposed to restore.</x:v>
      </x:c>
      <x:c r="K57" s="73" t="str">
        <x:v>General public-shaming theory with no verified dedicated #MeToo analysis.</x:v>
      </x:c>
      <x:c r="L57" s="73" t="str">
        <x:v>ABSTRACT ONLY</x:v>
      </x:c>
      <x:c r="M57" s="73" t="str">
        <x:v>NO EVIDENCE</x:v>
      </x:c>
      <x:c r="N57" s="74" t="str">
        <x:v>https://www.cambridge.org/core/journals/social-philosophy-and-policy/article/abs/technology-of-public-shaming/E7EFEDC1D9D7C628BAB0FC940D8D81C5</x:v>
      </x:c>
    </x:row>
    <x:row r="58" ht="58" customHeight="1">
      <x:c r="A58" s="75" t="n">
        <x:v>124</x:v>
      </x:c>
      <x:c r="B58" s="76" t="n">
        <x:v>2026</x:v>
      </x:c>
      <x:c r="C58" s="76" t="str">
        <x:v>Paul Billingham and Tom Parr</x:v>
      </x:c>
      <x:c r="D58" s="76" t="str">
        <x:v>Online Public Shaming, the Duties of Social Media Platforms, and the Case for Regulation</x:v>
      </x:c>
      <x:c r="E58" s="76" t="str">
        <x:v>OUTSIDE / EXCOMMUNICABLE</x:v>
      </x:c>
      <x:c r="F58" s="76" t="str">
        <x:v>REJECTS</x:v>
      </x:c>
      <x:c r="G58" s="76" t="str">
        <x:v>NO EVIDENCE</x:v>
      </x:c>
      <x:c r="H58" s="76" t="str">
        <x:v>Movement-adjacent</x:v>
      </x:c>
      <x:c r="I58" s="76" t="str">
        <x:v>Peer-reviewed journal article</x:v>
      </x:c>
      <x:c r="J58" s="76" t="str">
        <x:v>Because platforms predictably magnify wrongful and disproportionate shaming, they have duties to reduce it and regulation can enforce those duties.</x:v>
      </x:c>
      <x:c r="K58" s="76" t="str">
        <x:v>Not #MeToo-specific; regulates damaging effects rather than rejecting every public call-out.</x:v>
      </x:c>
      <x:c r="L58" s="76" t="str">
        <x:v>ABSTRACT ONLY</x:v>
      </x:c>
      <x:c r="M58" s="76" t="str">
        <x:v>NO EVIDENCE</x:v>
      </x:c>
      <x:c r="N58" s="77" t="str">
        <x:v>https://link.springer.com/article/10.1007/s13347-025-01031-y</x:v>
      </x:c>
    </x:row>
    <x:row r="59" ht="58" customHeight="1">
      <x:c r="A59" s="72" t="n">
        <x:v>125</x:v>
      </x:c>
      <x:c r="B59" s="73" t="n">
        <x:v>2024</x:v>
      </x:c>
      <x:c r="C59" s="73" t="str">
        <x:v>Alejandra Castillo Ara</x:v>
      </x:c>
      <x:c r="D59" s="73" t="str">
        <x:v>Punitivismo digital: La exposición peligrosa de datos personales como delito</x:v>
      </x:c>
      <x:c r="E59" s="73" t="str">
        <x:v>OUTSIDE / EXCOMMUNICABLE</x:v>
      </x:c>
      <x:c r="F59" s="73" t="str">
        <x:v>REJECTS</x:v>
      </x:c>
      <x:c r="G59" s="73" t="str">
        <x:v>NO EVIDENCE</x:v>
      </x:c>
      <x:c r="H59" s="73" t="str">
        <x:v>Movement-adjacent</x:v>
      </x:c>
      <x:c r="I59" s="73" t="str">
        <x:v>Peer-reviewed journal article</x:v>
      </x:c>
      <x:c r="J59" s="73" t="str">
        <x:v>Digital denunciation can itself become punishable harm when exposure of personal data endangers bodily, sexual, reputational, or informational autonomy.</x:v>
      </x:c>
      <x:c r="K59" s="73" t="str">
        <x:v>Not specifically #MeToo; doctrinal criminal-law treatment of funas and doxing.</x:v>
      </x:c>
      <x:c r="L59" s="73" t="str">
        <x:v>ABSTRACT ONLY</x:v>
      </x:c>
      <x:c r="M59" s="73" t="str">
        <x:v>NO EVIDENCE</x:v>
      </x:c>
      <x:c r="N59" s="74" t="str">
        <x:v>https://rchdt.uchile.cl/index.php/RCHDT/article/view/73276</x:v>
      </x:c>
    </x:row>
    <x:row r="60" ht="58" customHeight="1">
      <x:c r="A60" s="75" t="n">
        <x:v>126</x:v>
      </x:c>
      <x:c r="B60" s="76" t="n">
        <x:v>2021</x:v>
      </x:c>
      <x:c r="C60" s="76" t="str">
        <x:v>Karen Isabel Cabrera Peña and Carlos Alberto Jiménez Cabarcas</x:v>
      </x:c>
      <x:c r="D60" s="76" t="str">
        <x:v>La cultura de la cancelación en redes sociales: Un reproche peligroso e injusto a la luz de los principios del derecho penal</x:v>
      </x:c>
      <x:c r="E60" s="76" t="str">
        <x:v>OUTSIDE / EXCOMMUNICABLE</x:v>
      </x:c>
      <x:c r="F60" s="76" t="str">
        <x:v>REJECTS</x:v>
      </x:c>
      <x:c r="G60" s="76" t="str">
        <x:v>NO EVIDENCE</x:v>
      </x:c>
      <x:c r="H60" s="76" t="str">
        <x:v>Movement-adjacent</x:v>
      </x:c>
      <x:c r="I60" s="76" t="str">
        <x:v>Peer-reviewed journal article</x:v>
      </x:c>
      <x:c r="J60" s="76" t="str">
        <x:v>Online cancellation may help minorities speak, but it becomes unjust when crowds impose disproportionate punishment for conduct that is not even criminal.</x:v>
      </x:c>
      <x:c r="K60" s="76" t="str">
        <x:v>General cancel-culture article rather than a dedicated #MeToo or sexual-allegation study.</x:v>
      </x:c>
      <x:c r="L60" s="76" t="str">
        <x:v>ABSTRACT ONLY</x:v>
      </x:c>
      <x:c r="M60" s="76" t="str">
        <x:v>NO EVIDENCE</x:v>
      </x:c>
      <x:c r="N60" s="77" t="str">
        <x:v>https://rchdt.uchile.cl/index.php/RCHDT/article/view/60421</x:v>
      </x:c>
    </x:row>
    <x:row r="61" ht="58" customHeight="1">
      <x:c r="A61" s="72" t="n">
        <x:v>129</x:v>
      </x:c>
      <x:c r="B61" s="73" t="n">
        <x:v>2025</x:v>
      </x:c>
      <x:c r="C61" s="73" t="str">
        <x:v>Sandro Volpe</x:v>
      </x:c>
      <x:c r="D61" s="73" t="str">
        <x:v>Con le migliori intenzioni. Il nuovo puritanesimo al cinema</x:v>
      </x:c>
      <x:c r="E61" s="73" t="str">
        <x:v>OUTSIDE / EXCOMMUNICABLE</x:v>
      </x:c>
      <x:c r="F61" s="73" t="str">
        <x:v>REJECTS</x:v>
      </x:c>
      <x:c r="G61" s="73" t="str">
        <x:v>REJECTS</x:v>
      </x:c>
      <x:c r="H61" s="73" t="str">
        <x:v>Direct #MeToo critique</x:v>
      </x:c>
      <x:c r="I61" s="73" t="str">
        <x:v>Peer-reviewed journal article</x:v>
      </x:c>
      <x:c r="J61" s="73" t="str">
        <x:v>A movement that began by protecting victims becomes dangerous when identity and victimhood authorize a puritanical cultural regime that polarizes public life and chills erotic and artistic freedom.</x:v>
      </x:c>
      <x:c r="K61" s="73" t="str">
        <x:v>Comparative film and cultural analysis of three French-linked works, not population evidence; premise classification currently depends on the publisher abstract and requires full-text confirmation.</x:v>
      </x:c>
      <x:c r="L61" s="73" t="str">
        <x:v>ABSTRACT ONLY</x:v>
      </x:c>
      <x:c r="M61" s="73" t="str">
        <x:v>ABSTRACT ONLY</x:v>
      </x:c>
      <x:c r="N61" s="74" t="str">
        <x:v>https://www.ledijournals.com/ojs/index.php/comparatismi/article/view/3134</x:v>
      </x:c>
    </x:row>
    <x:row r="62" ht="58" customHeight="1">
      <x:c r="A62" s="75" t="n">
        <x:v>130</x:v>
      </x:c>
      <x:c r="B62" s="76" t="n">
        <x:v>2018</x:v>
      </x:c>
      <x:c r="C62" s="76" t="str">
        <x:v>Emmanuel Désveaux</x:v>
      </x:c>
      <x:c r="D62" s="76" t="str">
        <x:v>L'affaire Weinstein : prédation masculine ou tectonique des plaques</x:v>
      </x:c>
      <x:c r="E62" s="76" t="str">
        <x:v>OUTSIDE / EXCOMMUNICABLE</x:v>
      </x:c>
      <x:c r="F62" s="76" t="str">
        <x:v>REJECTS</x:v>
      </x:c>
      <x:c r="G62" s="76" t="str">
        <x:v>REJECTS</x:v>
      </x:c>
      <x:c r="H62" s="76" t="str">
        <x:v>Direct #MeToo critique</x:v>
      </x:c>
      <x:c r="I62" s="76" t="str">
        <x:v>Academic forum / editorial</x:v>
      </x:c>
      <x:c r="J62" s="76" t="str">
        <x:v>#MeToo mistakes a difficult transition toward sex equality for a universal male-predator story, erasing ambiguity, women's agency, and the social history of erotic-professional entanglement while reviving puritanism.</x:v>
      </x:c>
      <x:c r="K62" s="76" t="str">
        <x:v>A theoretical anthropology conference article rather than an empirical test; several broad historical claims require independent corroboration.</x:v>
      </x:c>
      <x:c r="L62" s="76" t="str">
        <x:v>DIRECT EXPLICIT</x:v>
      </x:c>
      <x:c r="M62" s="76" t="str">
        <x:v>DIRECT EXPLICIT</x:v>
      </x:c>
      <x:c r="N62" s="77" t="str">
        <x:v>https://www.erudit.org/fr/revues/as/2018-v42-n2-3-as04040/1052650ar/</x:v>
      </x:c>
    </x:row>
    <x:row r="63" ht="58" customHeight="1">
      <x:c r="A63" s="72" t="n">
        <x:v>131</x:v>
      </x:c>
      <x:c r="B63" s="73" t="n">
        <x:v>2019</x:v>
      </x:c>
      <x:c r="C63" s="73" t="str">
        <x:v>Emmanuel Désveaux</x:v>
      </x:c>
      <x:c r="D63" s="73" t="str">
        <x:v>À propos de l'affaire Weinstein : de la subordination dynamique à l'égalité statutaire</x:v>
      </x:c>
      <x:c r="E63" s="73" t="str">
        <x:v>OUTSIDE / EXCOMMUNICABLE</x:v>
      </x:c>
      <x:c r="F63" s="73" t="str">
        <x:v>REJECTS</x:v>
      </x:c>
      <x:c r="G63" s="73" t="str">
        <x:v>REJECTS</x:v>
      </x:c>
      <x:c r="H63" s="73" t="str">
        <x:v>Direct #MeToo critique</x:v>
      </x:c>
      <x:c r="I63" s="73" t="str">
        <x:v>Other</x:v>
      </x:c>
      <x:c r="J63" s="73" t="str">
        <x:v>A real abuse scandal became a total account of sex inequality that moralizes all ambiguity instead of analyzing the transition from hierarchical dependence to equal status.</x:v>
      </x:c>
      <x:c r="K63" s="73" t="str">
        <x:v>A substantially reworked version of Désveaux's 2018 article; retain it as a separate publication but do not count it as independent corroboration.</x:v>
      </x:c>
      <x:c r="L63" s="73" t="str">
        <x:v>DIRECT EXPLICIT</x:v>
      </x:c>
      <x:c r="M63" s="73" t="str">
        <x:v>DIRECT EXPLICIT</x:v>
      </x:c>
      <x:c r="N63" s="74" t="str">
        <x:v>https://droit.cairn.info/revue-grief-2019-1-page-35?lang=fr</x:v>
      </x:c>
    </x:row>
    <x:row r="64" ht="58" customHeight="1">
      <x:c r="A64" s="75" t="n">
        <x:v>132</x:v>
      </x:c>
      <x:c r="B64" s="76" t="n">
        <x:v>2020</x:v>
      </x:c>
      <x:c r="C64" s="76" t="str">
        <x:v>Alejandro Nava Tovar</x:v>
      </x:c>
      <x:c r="D64" s="76" t="str">
        <x:v>La cautela criminal en la era del acoso. Una lectura de Acoso de Marta Lamas</x:v>
      </x:c>
      <x:c r="E64" s="76" t="str">
        <x:v>OUTSIDE / EXCOMMUNICABLE</x:v>
      </x:c>
      <x:c r="F64" s="76" t="str">
        <x:v>REJECTS</x:v>
      </x:c>
      <x:c r="G64" s="76" t="str">
        <x:v>REJECTS</x:v>
      </x:c>
      <x:c r="H64" s="76" t="str">
        <x:v>Direct #MeToo critique</x:v>
      </x:c>
      <x:c r="I64" s="76" t="str">
        <x:v>Peer-reviewed journal article</x:v>
      </x:c>
      <x:c r="J64" s="76" t="str">
        <x:v>#MeToo turns a legitimate anti-harassment cause into an unfalsifiable victim-perpetrator story that erases consent and complexity; fair hearing, shared harm, and nonpunitive caution protect women without social lynching.</x:v>
      </x:c>
      <x:c r="K64" s="76" t="str">
        <x:v>A favorable critical review of Marta Lamas plus Nava's own normative extension, not an empirical study of the movement.</x:v>
      </x:c>
      <x:c r="L64" s="76" t="str">
        <x:v>DIRECT EXPLICIT</x:v>
      </x:c>
      <x:c r="M64" s="76" t="str">
        <x:v>DIRECT EXPLICIT</x:v>
      </x:c>
      <x:c r="N64" s="77" t="str">
        <x:v>https://revistacienciasinacipe.fgr.org.mx/index.php/02/article/view/325</x:v>
      </x:c>
    </x:row>
    <x:row r="65" ht="58" customHeight="1">
      <x:c r="A65" s="72" t="n">
        <x:v>133</x:v>
      </x:c>
      <x:c r="B65" s="73" t="n">
        <x:v>2022</x:v>
      </x:c>
      <x:c r="C65" s="73" t="str">
        <x:v>Catherine Kintzler</x:v>
      </x:c>
      <x:c r="D65" s="73" t="str">
        <x:v>Sabine Prokhoris, Le Mirage #MeToo. Réflexions à partir du cas français</x:v>
      </x:c>
      <x:c r="E65" s="73" t="str">
        <x:v>OUTSIDE / EXCOMMUNICABLE</x:v>
      </x:c>
      <x:c r="F65" s="73" t="str">
        <x:v>REJECTS</x:v>
      </x:c>
      <x:c r="G65" s="73" t="str">
        <x:v>REJECTS</x:v>
      </x:c>
      <x:c r="H65" s="73" t="str">
        <x:v>Direct #MeToo critique</x:v>
      </x:c>
      <x:c r="I65" s="73" t="str">
        <x:v>Other</x:v>
      </x:c>
      <x:c r="J65" s="73" t="str">
        <x:v>When accusation makes itself true and every degree of conduct is folded into one offended continuum, emancipation gives way to identity separation and a self-validating tribunal.</x:v>
      </x:c>
      <x:c r="K65" s="73" t="str">
        <x:v>A favorable scholarly book review and endorsement, not independent empirical evidence; the Cairn DOI and exact end page require final metadata verification.</x:v>
      </x:c>
      <x:c r="L65" s="73" t="str">
        <x:v>DIRECT EXPLICIT</x:v>
      </x:c>
      <x:c r="M65" s="73" t="str">
        <x:v>DIRECT EXPLICIT</x:v>
      </x:c>
      <x:c r="N65" s="74" t="str">
        <x:v>https://www.mezetulle.fr/le-mirage-metoo-de-sabine-prokhoris-lu-par-c-kintzler/</x:v>
      </x:c>
    </x:row>
    <x:row r="66" ht="58" customHeight="1">
      <x:c r="A66" s="75" t="n">
        <x:v>134</x:v>
      </x:c>
      <x:c r="B66" s="76" t="n">
        <x:v>2018</x:v>
      </x:c>
      <x:c r="C66" s="76" t="str">
        <x:v>Monique Selim</x:v>
      </x:c>
      <x:c r="D66" s="76" t="str">
        <x:v>Des intimités transparentes ?</x:v>
      </x:c>
      <x:c r="E66" s="76" t="str">
        <x:v>OUTSIDE / EXCOMMUNICABLE</x:v>
      </x:c>
      <x:c r="F66" s="76" t="str">
        <x:v>REJECTS</x:v>
      </x:c>
      <x:c r="G66" s="76" t="str">
        <x:v>REJECTS</x:v>
      </x:c>
      <x:c r="H66" s="76" t="str">
        <x:v>Movement-adjacent</x:v>
      </x:c>
      <x:c r="I66" s="76" t="str">
        <x:v>Peer-reviewed journal article</x:v>
      </x:c>
      <x:c r="J66" s="76" t="str">
        <x:v>Compulsory transparency turns intimacy and ambiguous desire into administratively legible identities, consent scripts, and moral governance, re-essentializing women while claiming liberation.</x:v>
      </x:c>
      <x:c r="K66" s="76" t="str">
        <x:v>A foundational adjacent theory of intimacy, identity, and governance; the retrieved text does not name #MeToo and therefore cannot establish the movement's operation by itself.</x:v>
      </x:c>
      <x:c r="L66" s="76" t="str">
        <x:v>DIRECT ENTAILMENT</x:v>
      </x:c>
      <x:c r="M66" s="76" t="str">
        <x:v>DIRECT ENTAILMENT</x:v>
      </x:c>
      <x:c r="N66" s="77" t="str">
        <x:v>https://www.multitudes.net/des-intimites-transparentes%E2%80%89/</x:v>
      </x:c>
    </x:row>
    <x:row r="67" ht="58" customHeight="1">
      <x:c r="A67" s="72" t="n">
        <x:v>146</x:v>
      </x:c>
      <x:c r="B67" s="73" t="n">
        <x:v>2007</x:v>
      </x:c>
      <x:c r="C67" s="73" t="str">
        <x:v>Theresa Man Ling Lee</x:v>
      </x:c>
      <x:c r="D67" s="73" t="str">
        <x:v>Rethinking the Personal and the Political: Feminist Activism and Civic Engagement</x:v>
      </x:c>
      <x:c r="E67" s="73" t="str">
        <x:v>OUTSIDE / EXCOMMUNICABLE</x:v>
      </x:c>
      <x:c r="F67" s="73" t="str">
        <x:v>REJECTS</x:v>
      </x:c>
      <x:c r="G67" s="73" t="str">
        <x:v>NO EVIDENCE</x:v>
      </x:c>
      <x:c r="H67" s="73" t="str">
        <x:v>Foundational antecedent</x:v>
      </x:c>
      <x:c r="I67" s="73" t="str">
        <x:v>Peer-reviewed journal article</x:v>
      </x:c>
      <x:c r="J67" s="73" t="str">
        <x:v>Feminist civic action must bridge private experience and public life while still sustaining the distinction that protects dignity, agency, and plural citizenship.</x:v>
      </x:c>
      <x:c r="K67" s="73" t="str">
        <x:v>Rejects collapse of the divide, not every political connection between personal life and public power.</x:v>
      </x:c>
      <x:c r="L67" s="73" t="str">
        <x:v>DIRECT EXPLICIT</x:v>
      </x:c>
      <x:c r="M67" s="73" t="str">
        <x:v>NO EVIDENCE</x:v>
      </x:c>
      <x:c r="N67" s="74" t="str">
        <x:v>https://doi.org/10.1111/j.1527-2001.2007.tb01326.x</x:v>
      </x:c>
    </x:row>
    <x:row r="68" ht="58" customHeight="1">
      <x:c r="A68" s="75" t="n">
        <x:v>147</x:v>
      </x:c>
      <x:c r="B68" s="76" t="n">
        <x:v>2001</x:v>
      </x:c>
      <x:c r="C68" s="76" t="str">
        <x:v>Juliet A. Williams</x:v>
      </x:c>
      <x:c r="D68" s="76" t="str">
        <x:v>The Personal is Political: Thinking Through the Clinton/Lewinsky/Starr Affair</x:v>
      </x:c>
      <x:c r="E68" s="76" t="str">
        <x:v>OUTSIDE / EXCOMMUNICABLE</x:v>
      </x:c>
      <x:c r="F68" s="76" t="str">
        <x:v>REJECTS</x:v>
      </x:c>
      <x:c r="G68" s="76" t="str">
        <x:v>NO EVIDENCE</x:v>
      </x:c>
      <x:c r="H68" s="76" t="str">
        <x:v>Foundational antecedent</x:v>
      </x:c>
      <x:c r="I68" s="76" t="str">
        <x:v>Peer-reviewed journal article</x:v>
      </x:c>
      <x:c r="J68" s="76" t="str">
        <x:v>Making intimate relationships politically answerable can invite official coercion, so feminism must preserve privacy as a real shield instead of treating every personal matter as public business.</x:v>
      </x:c>
      <x:c r="K68" s="76" t="str">
        <x:v>A case-based feminist argument about political scandal, not a direct #MeToo study.</x:v>
      </x:c>
      <x:c r="L68" s="76" t="str">
        <x:v>DIRECT EXPLICIT</x:v>
      </x:c>
      <x:c r="M68" s="76" t="str">
        <x:v>NO EVIDENCE</x:v>
      </x:c>
      <x:c r="N68" s="77" t="str">
        <x:v>https://doi.org/10.1017/S1049096501000142</x:v>
      </x:c>
    </x:row>
    <x:row r="69" ht="58" customHeight="1">
      <x:c r="A69" s="72" t="n">
        <x:v>148</x:v>
      </x:c>
      <x:c r="B69" s="73" t="n">
        <x:v>1987</x:v>
      </x:c>
      <x:c r="C69" s="73" t="str">
        <x:v>Judith Grant</x:v>
      </x:c>
      <x:c r="D69" s="73" t="str">
        <x:v>I Feel Therefore I Am: A Critique of Female Experience as the Basis for a Feminist Epistemology</x:v>
      </x:c>
      <x:c r="E69" s="73" t="str">
        <x:v>OUTSIDE / EXCOMMUNICABLE</x:v>
      </x:c>
      <x:c r="F69" s="73" t="str">
        <x:v>NO EVIDENCE</x:v>
      </x:c>
      <x:c r="G69" s="73" t="str">
        <x:v>REJECTS</x:v>
      </x:c>
      <x:c r="H69" s="73" t="str">
        <x:v>Foundational antecedent</x:v>
      </x:c>
      <x:c r="I69" s="73" t="str">
        <x:v>Peer-reviewed journal article</x:v>
      </x:c>
      <x:c r="J69" s="73" t="str">
        <x:v>Replacing allegedly male reason with women’s experience merely stereotypes women, ignores differences across class, race, culture, and time, and cannot supply a reliable epistemology.</x:v>
      </x:c>
      <x:c r="K69" s="73" t="str">
        <x:v>Targets experience as an epistemic foundation; it does not deny that lived experience supplies relevant evidence.</x:v>
      </x:c>
      <x:c r="L69" s="73" t="str">
        <x:v>NO EVIDENCE</x:v>
      </x:c>
      <x:c r="M69" s="73" t="str">
        <x:v>DIRECT EXPLICIT</x:v>
      </x:c>
      <x:c r="N69" s="74" t="str">
        <x:v>https://doi.org/10.1300/J014v07n03_08</x:v>
      </x:c>
    </x:row>
    <x:row r="70" ht="58" customHeight="1">
      <x:c r="A70" s="75" t="n">
        <x:v>149</x:v>
      </x:c>
      <x:c r="B70" s="76" t="n">
        <x:v>1993</x:v>
      </x:c>
      <x:c r="C70" s="76" t="str">
        <x:v>Susan Haack</x:v>
      </x:c>
      <x:c r="D70" s="76" t="str">
        <x:v>Epistemological Reflections of an Old Feminist</x:v>
      </x:c>
      <x:c r="E70" s="76" t="str">
        <x:v>OUTSIDE / EXCOMMUNICABLE</x:v>
      </x:c>
      <x:c r="F70" s="76" t="str">
        <x:v>NO EVIDENCE</x:v>
      </x:c>
      <x:c r="G70" s="76" t="str">
        <x:v>REJECTS</x:v>
      </x:c>
      <x:c r="H70" s="76" t="str">
        <x:v>Foundational antecedent</x:v>
      </x:c>
      <x:c r="I70" s="76" t="str">
        <x:v>Peer-reviewed journal article</x:v>
      </x:c>
      <x:c r="J70" s="76" t="str">
        <x:v>Oppression can reveal neglected questions, but it does not automatically produce epistemic privilege, a female way of knowing, or permission to subordinate inquiry to politics.</x:v>
      </x:c>
      <x:c r="K70" s="76" t="str">
        <x:v>A feminist empiricist critique of politicized epistemology, not an argument that social position never affects available evidence.</x:v>
      </x:c>
      <x:c r="L70" s="76" t="str">
        <x:v>NO EVIDENCE</x:v>
      </x:c>
      <x:c r="M70" s="76" t="str">
        <x:v>DIRECT EXPLICIT</x:v>
      </x:c>
      <x:c r="N70" s="77" t="str">
        <x:v>https://repository.law.miami.edu/fac_articles/788/</x:v>
      </x:c>
    </x:row>
    <x:row r="71" ht="58" customHeight="1">
      <x:c r="A71" s="72" t="n">
        <x:v>150</x:v>
      </x:c>
      <x:c r="B71" s="73" t="n">
        <x:v>1994</x:v>
      </x:c>
      <x:c r="C71" s="73" t="str">
        <x:v>Cassandra L. Pinnick</x:v>
      </x:c>
      <x:c r="D71" s="73" t="str">
        <x:v>Feminist Epistemology: Implications for Philosophy of Science</x:v>
      </x:c>
      <x:c r="E71" s="73" t="str">
        <x:v>OUTSIDE / EXCOMMUNICABLE</x:v>
      </x:c>
      <x:c r="F71" s="73" t="str">
        <x:v>NO EVIDENCE</x:v>
      </x:c>
      <x:c r="G71" s="73" t="str">
        <x:v>REJECTS</x:v>
      </x:c>
      <x:c r="H71" s="73" t="str">
        <x:v>Foundational antecedent</x:v>
      </x:c>
      <x:c r="I71" s="73" t="str">
        <x:v>Peer-reviewed journal article</x:v>
      </x:c>
      <x:c r="J71" s="73" t="str">
        <x:v>Standpoint theory cannot claim superior knowledge merely from social position while escaping relativism, so feminist science still needs public evidentiary standards.</x:v>
      </x:c>
      <x:c r="K71" s="73" t="str">
        <x:v>A philosophy-of-science critique, not a study of testimonial credibility in sexual-assault cases.</x:v>
      </x:c>
      <x:c r="L71" s="73" t="str">
        <x:v>NO EVIDENCE</x:v>
      </x:c>
      <x:c r="M71" s="73" t="str">
        <x:v>DIRECT EXPLICIT</x:v>
      </x:c>
      <x:c r="N71" s="74" t="str">
        <x:v>https://doi.org/10.1086/289827</x:v>
      </x:c>
    </x:row>
    <x:row r="72" ht="58" customHeight="1">
      <x:c r="A72" s="75" t="n">
        <x:v>151</x:v>
      </x:c>
      <x:c r="B72" s="76" t="n">
        <x:v>1993</x:v>
      </x:c>
      <x:c r="C72" s="76" t="str">
        <x:v>Bat-Ami Bar On</x:v>
      </x:c>
      <x:c r="D72" s="76" t="str">
        <x:v>Marginality and Epistemic Privilege</x:v>
      </x:c>
      <x:c r="E72" s="76" t="str">
        <x:v>OUTSIDE / EXCOMMUNICABLE</x:v>
      </x:c>
      <x:c r="F72" s="76" t="str">
        <x:v>NO EVIDENCE</x:v>
      </x:c>
      <x:c r="G72" s="76" t="str">
        <x:v>REJECTS</x:v>
      </x:c>
      <x:c r="H72" s="76" t="str">
        <x:v>Foundational antecedent</x:v>
      </x:c>
      <x:c r="I72" s="76" t="str">
        <x:v>Book chapter</x:v>
      </x:c>
      <x:c r="J72" s="76" t="str">
        <x:v>Neither oppression nor a feminine cognitive style gives women a unified privileged view, because women’s inequalities intersect and no single margin explains them all.</x:v>
      </x:c>
      <x:c r="K72" s="76" t="str">
        <x:v>The current premise judgment rests on an authoritative scholarly summary; the primary chapter still needs a full-text locator.</x:v>
      </x:c>
      <x:c r="L72" s="76" t="str">
        <x:v>NO EVIDENCE</x:v>
      </x:c>
      <x:c r="M72" s="76" t="str">
        <x:v>SECONDARY REPORT</x:v>
      </x:c>
      <x:c r="N72" s="77" t="str">
        <x:v>https://www.routledge.com/Feminist-Epistemologies/Alcoff-Potter/p/book/9780415904513</x:v>
      </x:c>
    </x:row>
    <x:row r="73" ht="58" customHeight="1">
      <x:c r="A73" s="72" t="n">
        <x:v>152</x:v>
      </x:c>
      <x:c r="B73" s="73" t="n">
        <x:v>1993</x:v>
      </x:c>
      <x:c r="C73" s="73" t="str">
        <x:v>Helen E. Longino</x:v>
      </x:c>
      <x:c r="D73" s="73" t="str">
        <x:v>Subjects, Power, and Knowledge: Description and Prescription in Feminist Philosophies of Science</x:v>
      </x:c>
      <x:c r="E73" s="73" t="str">
        <x:v>OUTSIDE / EXCOMMUNICABLE</x:v>
      </x:c>
      <x:c r="F73" s="73" t="str">
        <x:v>NO EVIDENCE</x:v>
      </x:c>
      <x:c r="G73" s="73" t="str">
        <x:v>REJECTS</x:v>
      </x:c>
      <x:c r="H73" s="73" t="str">
        <x:v>Foundational antecedent</x:v>
      </x:c>
      <x:c r="I73" s="73" t="str">
        <x:v>Book chapter</x:v>
      </x:c>
      <x:c r="J73" s="73" t="str">
        <x:v>A standpoint cannot prove its own privilege merely by declaring one social location superior; objectivity needs criticism across positions and public standards.</x:v>
      </x:c>
      <x:c r="K73" s="73" t="str">
        <x:v>The current premise judgment uses a scholarly secondary summary; the primary chapter needs exact pages before being marked ready.</x:v>
      </x:c>
      <x:c r="L73" s="73" t="str">
        <x:v>NO EVIDENCE</x:v>
      </x:c>
      <x:c r="M73" s="73" t="str">
        <x:v>SECONDARY REPORT</x:v>
      </x:c>
      <x:c r="N73" s="74" t="str">
        <x:v>https://academic.oup.com/book/48826/chapter-abstract/420804879</x:v>
      </x:c>
    </x:row>
    <x:row r="74" ht="58" customHeight="1">
      <x:c r="A74" s="75" t="n">
        <x:v>153</x:v>
      </x:c>
      <x:c r="B74" s="76" t="n">
        <x:v>1991</x:v>
      </x:c>
      <x:c r="C74" s="76" t="str">
        <x:v>Joan W. Scott</x:v>
      </x:c>
      <x:c r="D74" s="76" t="str">
        <x:v>The Evidence of Experience</x:v>
      </x:c>
      <x:c r="E74" s="76" t="str">
        <x:v>OUTSIDE / EXCOMMUNICABLE</x:v>
      </x:c>
      <x:c r="F74" s="76" t="str">
        <x:v>NO EVIDENCE</x:v>
      </x:c>
      <x:c r="G74" s="76" t="str">
        <x:v>REJECTS</x:v>
      </x:c>
      <x:c r="H74" s="76" t="str">
        <x:v>Foundational antecedent</x:v>
      </x:c>
      <x:c r="I74" s="76" t="str">
        <x:v>Peer-reviewed journal article</x:v>
      </x:c>
      <x:c r="J74" s="76" t="str">
        <x:v>Experience is evidence to be explained, not a transparent foundation that ends argument, because identities and what counts as experience are themselves historically produced.</x:v>
      </x:c>
      <x:c r="K74" s="76" t="str">
        <x:v>Rejects foundational authority for experience; it does not deny first-person reports or the relevance of social location.</x:v>
      </x:c>
      <x:c r="L74" s="76" t="str">
        <x:v>NO EVIDENCE</x:v>
      </x:c>
      <x:c r="M74" s="76" t="str">
        <x:v>SECONDARY REPORT</x:v>
      </x:c>
      <x:c r="N74" s="77" t="str">
        <x:v>https://doi.org/10.1086/448612</x:v>
      </x:c>
    </x:row>
    <x:row r="75" ht="58" customHeight="1">
      <x:c r="A75" s="72" t="n">
        <x:v>154</x:v>
      </x:c>
      <x:c r="B75" s="73" t="n">
        <x:v>2022</x:v>
      </x:c>
      <x:c r="C75" s="73" t="str">
        <x:v>Louise M. Antony</x:v>
      </x:c>
      <x:c r="D75" s="73" t="str">
        <x:v>Quine as Feminist: The Radical Import of Naturalized Epistemology</x:v>
      </x:c>
      <x:c r="E75" s="73" t="str">
        <x:v>OUTSIDE / EXCOMMUNICABLE</x:v>
      </x:c>
      <x:c r="F75" s="73" t="str">
        <x:v>NO EVIDENCE</x:v>
      </x:c>
      <x:c r="G75" s="73" t="str">
        <x:v>REJECTS</x:v>
      </x:c>
      <x:c r="H75" s="73" t="str">
        <x:v>Foundational antecedent</x:v>
      </x:c>
      <x:c r="I75" s="73" t="str">
        <x:v>Book chapter</x:v>
      </x:c>
      <x:c r="J75" s="73" t="str">
        <x:v>Feminists can expose bias without abandoning impartiality, objectivity, or evidence; making politics decide truth only recreates the bias problem in a new form.</x:v>
      </x:c>
      <x:c r="K75" s="73" t="str">
        <x:v>A general epistemology chapter, not a direct analysis of survivor testimony or #MeToo.</x:v>
      </x:c>
      <x:c r="L75" s="73" t="str">
        <x:v>NO EVIDENCE</x:v>
      </x:c>
      <x:c r="M75" s="73" t="str">
        <x:v>DIRECT EXPLICIT</x:v>
      </x:c>
      <x:c r="N75" s="74" t="str">
        <x:v>https://doi.org/10.1093/oso/9780190934361.003.0002</x:v>
      </x:c>
    </x:row>
    <x:row r="76" ht="58" customHeight="1">
      <x:c r="A76" s="75" t="n">
        <x:v>155</x:v>
      </x:c>
      <x:c r="B76" s="76" t="n">
        <x:v>2022</x:v>
      </x:c>
      <x:c r="C76" s="76" t="str">
        <x:v>Louise M. Antony</x:v>
      </x:c>
      <x:c r="D76" s="76" t="str">
        <x:v>Sisters, Please, I’d Rather Do It Myself: A Defense of Individualism in Feminist Epistemology</x:v>
      </x:c>
      <x:c r="E76" s="76" t="str">
        <x:v>OUTSIDE / EXCOMMUNICABLE</x:v>
      </x:c>
      <x:c r="F76" s="76" t="str">
        <x:v>NO EVIDENCE</x:v>
      </x:c>
      <x:c r="G76" s="76" t="str">
        <x:v>REJECTS</x:v>
      </x:c>
      <x:c r="H76" s="76" t="str">
        <x:v>Foundational antecedent</x:v>
      </x:c>
      <x:c r="I76" s="76" t="str">
        <x:v>Book chapter</x:v>
      </x:c>
      <x:c r="J76" s="76" t="str">
        <x:v>Social power shapes inquiry, but knowers still need individual reasons and evidence; group identity cannot replace a person’s responsibility for belief.</x:v>
      </x:c>
      <x:c r="K76" s="76" t="str">
        <x:v>A general defense of epistemic individualism, not an allegation-specific credibility rule.</x:v>
      </x:c>
      <x:c r="L76" s="76" t="str">
        <x:v>NO EVIDENCE</x:v>
      </x:c>
      <x:c r="M76" s="76" t="str">
        <x:v>DIRECT EXPLICIT</x:v>
      </x:c>
      <x:c r="N76" s="77" t="str">
        <x:v>https://doi.org/10.1093/oso/9780190934361.003.0003</x:v>
      </x:c>
    </x:row>
    <x:row r="77" ht="58" customHeight="1">
      <x:c r="A77" s="72" t="n">
        <x:v>157</x:v>
      </x:c>
      <x:c r="B77" s="73" t="n">
        <x:v>2013</x:v>
      </x:c>
      <x:c r="C77" s="73" t="str">
        <x:v>Jed Rubenfeld</x:v>
      </x:c>
      <x:c r="D77" s="73" t="str">
        <x:v>The Riddle of Rape-by-Deception and the Myth of Sexual Autonomy</x:v>
      </x:c>
      <x:c r="E77" s="73" t="str">
        <x:v>OUTSIDE / EXCOMMUNICABLE</x:v>
      </x:c>
      <x:c r="F77" s="73" t="str">
        <x:v>REJECTS</x:v>
      </x:c>
      <x:c r="G77" s="73" t="str">
        <x:v>NO EVIDENCE</x:v>
      </x:c>
      <x:c r="H77" s="73" t="str">
        <x:v>Foundational antecedent</x:v>
      </x:c>
      <x:c r="I77" s="73" t="str">
        <x:v>Law review article</x:v>
      </x:c>
      <x:c r="J77" s="73" t="str">
        <x:v>If every material sexual deception invalidates consent, ordinary seduction becomes rape; criminal law therefore needs a narrower principle than total sexual autonomy.</x:v>
      </x:c>
      <x:c r="K77" s="73" t="str">
        <x:v>A criminal-law boundary argument, not a defense of coercion or a direct #MeToo critique.</x:v>
      </x:c>
      <x:c r="L77" s="73" t="str">
        <x:v>DIRECT EXPLICIT</x:v>
      </x:c>
      <x:c r="M77" s="73" t="str">
        <x:v>NO EVIDENCE</x:v>
      </x:c>
      <x:c r="N77" s="74" t="str">
        <x:v>https://yalelawjournal.org/article/the-riddle-of-rape-by-deception-and-the-myth-of-sexual-autonomy</x:v>
      </x:c>
    </x:row>
    <x:row r="78" ht="58" customHeight="1">
      <x:c r="A78" s="75" t="n">
        <x:v>158</x:v>
      </x:c>
      <x:c r="B78" s="76" t="n">
        <x:v>2016</x:v>
      </x:c>
      <x:c r="C78" s="76" t="str">
        <x:v>Nancy Gertner</x:v>
      </x:c>
      <x:c r="D78" s="76" t="str">
        <x:v>Complicated Process</x:v>
      </x:c>
      <x:c r="E78" s="76" t="str">
        <x:v>OUTSIDE / EXCOMMUNICABLE</x:v>
      </x:c>
      <x:c r="F78" s="76" t="str">
        <x:v>REJECTS</x:v>
      </x:c>
      <x:c r="G78" s="76" t="str">
        <x:v>REJECTS</x:v>
      </x:c>
      <x:c r="H78" s="76" t="str">
        <x:v>Foundational antecedent</x:v>
      </x:c>
      <x:c r="I78" s="76" t="str">
        <x:v>Law review article</x:v>
      </x:c>
      <x:c r="J78" s="76" t="str">
        <x:v>Campus systems should support complainants without turning trauma theory into a credibility shield or letting Title IX bureaucracies invent and punish ordinary sexual norms.</x:v>
      </x:c>
      <x:c r="K78" s="76" t="str">
        <x:v>A legal-process critique of Title IX, not a rejection of all survivor support or institutional regulation.</x:v>
      </x:c>
      <x:c r="L78" s="76" t="str">
        <x:v>DIRECT ENTAILMENT</x:v>
      </x:c>
      <x:c r="M78" s="76" t="str">
        <x:v>DIRECT ENTAILMENT</x:v>
      </x:c>
      <x:c r="N78" s="77" t="str">
        <x:v>https://yalelawjournal.org/essay/complicated-process</x:v>
      </x:c>
    </x:row>
    <x:row r="79" ht="58" customHeight="1">
      <x:c r="A79" s="72" t="n">
        <x:v>161</x:v>
      </x:c>
      <x:c r="B79" s="73" t="n">
        <x:v>2022</x:v>
      </x:c>
      <x:c r="C79" s="73" t="str">
        <x:v>Mairead Sullivan</x:v>
      </x:c>
      <x:c r="D79" s="73" t="str">
        <x:v>Grossed Out: The Carceral Logics of Disgust and the Demands of #MeToo</x:v>
      </x:c>
      <x:c r="E79" s="73" t="str">
        <x:v>OUTSIDE / EXCOMMUNICABLE</x:v>
      </x:c>
      <x:c r="F79" s="73" t="str">
        <x:v>REJECTS</x:v>
      </x:c>
      <x:c r="G79" s="73" t="str">
        <x:v>NO EVIDENCE</x:v>
      </x:c>
      <x:c r="H79" s="73" t="str">
        <x:v>Direct #MeToo critique</x:v>
      </x:c>
      <x:c r="I79" s="73" t="str">
        <x:v>Peer-reviewed journal article</x:v>
      </x:c>
      <x:c r="J79" s="73" t="str">
        <x:v>Disgust turns sexual politics into moral boundary-policing that marks abnormal people for exclusion and expands surveillance, so #MeToo must not let repulsion decide punishment.</x:v>
      </x:c>
      <x:c r="K79" s="73" t="str">
        <x:v>An immanent feminist critique that rejects carceral public adjudication; the present evidence is the publisher abstract, not a full-text premise audit.</x:v>
      </x:c>
      <x:c r="L79" s="73" t="str">
        <x:v>ABSTRACT ONLY</x:v>
      </x:c>
      <x:c r="M79" s="73" t="str">
        <x:v>NO EVIDENCE</x:v>
      </x:c>
      <x:c r="N79" s="74" t="str">
        <x:v>https://doi.org/10.1086/720427</x:v>
      </x:c>
    </x:row>
    <x:row r="80" ht="58" customHeight="1">
      <x:c r="A80" s="75" t="n">
        <x:v>165</x:v>
      </x:c>
      <x:c r="B80" s="76" t="n">
        <x:v>2019</x:v>
      </x:c>
      <x:c r="C80" s="76" t="str">
        <x:v>Eva Cherniavsky</x:v>
      </x:c>
      <x:c r="D80" s="76" t="str">
        <x:v>Keyword 1: #MeToo</x:v>
      </x:c>
      <x:c r="E80" s="76" t="str">
        <x:v>OUTSIDE / EXCOMMUNICABLE</x:v>
      </x:c>
      <x:c r="F80" s="76" t="str">
        <x:v>REJECTS</x:v>
      </x:c>
      <x:c r="G80" s="76" t="str">
        <x:v>NO EVIDENCE</x:v>
      </x:c>
      <x:c r="H80" s="76" t="str">
        <x:v>Direct #MeToo critique</x:v>
      </x:c>
      <x:c r="I80" s="76" t="str">
        <x:v>Peer-reviewed journal article</x:v>
      </x:c>
      <x:c r="J80" s="76" t="str">
        <x:v>#MeToo tries to name institutional power through interpersonal encounters, but that translation can shrink politics into a series of personal scenes and visible offenders.</x:v>
      </x:c>
      <x:c r="K80" s="76" t="str">
        <x:v>Premise judgment is provisional because the current description is based on scholarly summaries and the primary text is paywalled.</x:v>
      </x:c>
      <x:c r="L80" s="76" t="str">
        <x:v>SECONDARY REPORT</x:v>
      </x:c>
      <x:c r="M80" s="76" t="str">
        <x:v>NO EVIDENCE</x:v>
      </x:c>
      <x:c r="N80" s="77" t="str">
        <x:v>https://doi.org/10.1215/10407391-7481176</x:v>
      </x:c>
    </x:row>
    <x:row r="81" ht="58" customHeight="1">
      <x:c r="A81" s="104" t="n">
        <x:v>166</x:v>
      </x:c>
      <x:c r="B81" s="105" t="n">
        <x:v>1984</x:v>
      </x:c>
      <x:c r="C81" s="105" t="str">
        <x:v>Carole S. Vance</x:v>
      </x:c>
      <x:c r="D81" s="105" t="str">
        <x:v>Pleasure and Danger: Toward a Politics of Sexuality</x:v>
      </x:c>
      <x:c r="E81" s="105" t="str">
        <x:v>OUTSIDE / EXCOMMUNICABLE</x:v>
      </x:c>
      <x:c r="F81" s="105" t="str">
        <x:v>REJECTS</x:v>
      </x:c>
      <x:c r="G81" s="105" t="str">
        <x:v>NO EVIDENCE</x:v>
      </x:c>
      <x:c r="H81" s="105" t="str">
        <x:v>Foundational antecedent</x:v>
      </x:c>
      <x:c r="I81" s="105" t="str">
        <x:v>Book chapter</x:v>
      </x:c>
      <x:c r="J81" s="105" t="str">
        <x:v>A sexual politics organized only around danger and victimization erases women’s pleasure, choice, curiosity, and agency while expanding fear and control.</x:v>
      </x:c>
      <x:c r="K81" s="105" t="str">
        <x:v>A foundational sex-positive feminist argument, not a direct #MeToo article; the exact chapter edition and locator need final verification.</x:v>
      </x:c>
      <x:c r="L81" s="105" t="str">
        <x:v>ABSTRACT ONLY</x:v>
      </x:c>
      <x:c r="M81" s="105" t="str">
        <x:v>NO EVIDENCE</x:v>
      </x:c>
      <x:c r="N81" s="106" t="str">
        <x:v>https://doi.org/10.1093/oso/9780192892706.003.0056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3b5db2b04f8543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30" hidden="0" customWidth="1"/>
    <x:col min="4" max="4" width="44" hidden="0" customWidth="1"/>
    <x:col min="5" max="5" width="27" hidden="0" customWidth="1"/>
    <x:col min="6" max="6" width="22" hidden="0" customWidth="1"/>
    <x:col min="7" max="7" width="22" hidden="0" customWidth="1"/>
    <x:col min="8" max="8" width="27" hidden="0" customWidth="1"/>
    <x:col min="9" max="9" width="27" hidden="0" customWidth="1"/>
    <x:col min="10" max="10" width="70" hidden="0" customWidth="1"/>
    <x:col min="11" max="11" width="56" hidden="0" customWidth="1"/>
    <x:col min="12" max="12" width="21" hidden="0" customWidth="1"/>
    <x:col min="13" max="13" width="21" hidden="0" customWidth="1"/>
    <x:col min="14" max="14" width="58" hidden="0" customWidth="1"/>
  </x:cols>
  <x:sheetData>
    <x:row r="1" ht="30" customHeight="1">
      <x:c r="A1" s="3" t="str">
        <x:v>Inside feminism's Gorgonwars</x:v>
      </x:c>
    </x:row>
    <x:row r="2" ht="38" customHeight="1">
      <x:c r="A2" s="7" t="str">
        <x:v>Demonstrably retains both fixed premises while criticizing #MeToo, another feminism, or an implementation.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8" customHeight="1">
      <x:c r="A4" s="11" t="str">
        <x:v>Source ID</x:v>
      </x:c>
      <x:c r="B4" s="11" t="str">
        <x:v>Year</x:v>
      </x:c>
      <x:c r="C4" s="11" t="str">
        <x:v>Authors</x:v>
      </x:c>
      <x:c r="D4" s="11" t="str">
        <x:v>Title</x:v>
      </x:c>
      <x:c r="E4" s="11" t="str">
        <x:v>Premise class</x:v>
      </x:c>
      <x:c r="F4" s="11" t="str">
        <x:v>PIP position</x:v>
      </x:c>
      <x:c r="G4" s="11" t="str">
        <x:v>Standpoint position</x:v>
      </x:c>
      <x:c r="H4" s="11" t="str">
        <x:v>#MeToo relation</x:v>
      </x:c>
      <x:c r="I4" s="11" t="str">
        <x:v>Publication type</x:v>
      </x:c>
      <x:c r="J4" s="11" t="str">
        <x:v>One-line ironman thesis</x:v>
      </x:c>
      <x:c r="K4" s="11" t="str">
        <x:v>Evidence limit / anti-TWIST guardrail</x:v>
      </x:c>
      <x:c r="L4" s="11" t="str">
        <x:v>PIP evidence strength</x:v>
      </x:c>
      <x:c r="M4" s="11" t="str">
        <x:v>Standpoint evidence strength</x:v>
      </x:c>
      <x:c r="N4" s="11" t="str">
        <x:v>Primary URL</x:v>
      </x:c>
    </x:row>
    <x:row r="5" ht="58" customHeight="1">
      <x:c r="A5" s="101" t="n">
        <x:v>11</x:v>
      </x:c>
      <x:c r="B5" s="102" t="n">
        <x:v>2018</x:v>
      </x:c>
      <x:c r="C5" s="102" t="str">
        <x:v>Stavroula Pipyrou</x:v>
      </x:c>
      <x:c r="D5" s="102" t="str">
        <x:v>#MeToo is little more than mob rule // vs // #MeToo is a legitimate form of social justice</x:v>
      </x:c>
      <x:c r="E5" s="102" t="str">
        <x:v>INTERNAL GORGONWARS</x:v>
      </x:c>
      <x:c r="F5" s="102" t="str">
        <x:v>RETAINS WITH QUALIFICATION</x:v>
      </x:c>
      <x:c r="G5" s="102" t="str">
        <x:v>NO EVIDENCE</x:v>
      </x:c>
      <x:c r="H5" s="102" t="str">
        <x:v>Direct #MeToo defense / internal reply</x:v>
      </x:c>
      <x:c r="I5" s="102" t="str">
        <x:v>Academic forum / editorial</x:v>
      </x:c>
      <x:c r="J5" s="102" t="str">
        <x:v>#MeToo legitimately makes silenced violence visible, but lasting reform requires contextual evidence, institutional change, and safeguards against vigilantism, shaming, factual error, and fixation on individual villains.</x:v>
      </x:c>
      <x:c r="K5" s="102" t="str">
        <x:v>An editorial framing a debate; it does not reject the personal-is-political premise or supply a full independent empirical test.</x:v>
      </x:c>
      <x:c r="L5" s="102" t="str">
        <x:v>DIRECT ENTAILMENT</x:v>
      </x:c>
      <x:c r="M5" s="102" t="str">
        <x:v>NO EVIDENCE</x:v>
      </x:c>
      <x:c r="N5" s="103" t="str">
        <x:v>www.journals.uchicago.edu/doi/full/10.1086/701007</x:v>
      </x:c>
    </x:row>
    <x:row r="6" ht="58" customHeight="1">
      <x:c r="A6" s="75" t="n">
        <x:v>12</x:v>
      </x:c>
      <x:c r="B6" s="76" t="n">
        <x:v>2025</x:v>
      </x:c>
      <x:c r="C6" s="76" t="str">
        <x:v>Maggie O’Brien</x:v>
      </x:c>
      <x:c r="D6" s="76" t="str">
        <x:v>#MeToo and #ShoutYourAbortion: Claiming Standing and Exploding the Private Sphere</x:v>
      </x:c>
      <x:c r="E6" s="76" t="str">
        <x:v>INTERNAL GORGONWARS</x:v>
      </x:c>
      <x:c r="F6" s="76" t="str">
        <x:v>RETAINS</x:v>
      </x:c>
      <x:c r="G6" s="76" t="str">
        <x:v>RETAINS</x:v>
      </x:c>
      <x:c r="H6" s="76" t="str">
        <x:v>Direct #MeToo defense / internal reply</x:v>
      </x:c>
      <x:c r="I6" s="76" t="str">
        <x:v>Peer-reviewed journal article</x:v>
      </x:c>
      <x:c r="J6" s="76" t="str">
        <x:v>Collective disclosure rightly makes hidden injuries and women’s standing publicly legible, while privacy can be rebuilt as protection for individuals instead of institutional secrecy for abusers.</x:v>
      </x:c>
      <x:c r="K6" s="76" t="str">
        <x:v>Reconstructs rather than rejects the public/private collapse; it belongs inside the feminist dispute.</x:v>
      </x:c>
      <x:c r="L6" s="76" t="str">
        <x:v>DIRECT EXPLICIT</x:v>
      </x:c>
      <x:c r="M6" s="76" t="str">
        <x:v>DIRECT ENTAILMENT</x:v>
      </x:c>
      <x:c r="N6" s="77" t="str">
        <x:v>www.cambridge.org/core/journals/legal-theory/article/metoo-and-shoutyourabortion-claiming-standing-and-exploding-the-private-sphere/24FE42769C0FC2F2B04D0141CB19C8CD</x:v>
      </x:c>
    </x:row>
    <x:row r="7" ht="58" customHeight="1">
      <x:c r="A7" s="72" t="n">
        <x:v>15</x:v>
      </x:c>
      <x:c r="B7" s="73" t="n">
        <x:v>2024</x:v>
      </x:c>
      <x:c r="C7" s="73" t="str">
        <x:v>Tanya Serisier</x:v>
      </x:c>
      <x:c r="D7" s="73" t="str">
        <x:v>A Precondition for Justice: Political Listening, Feminism and Sexual Violence</x:v>
      </x:c>
      <x:c r="E7" s="73" t="str">
        <x:v>INTERNAL GORGONWARS</x:v>
      </x:c>
      <x:c r="F7" s="73" t="str">
        <x:v>RETAINS</x:v>
      </x:c>
      <x:c r="G7" s="73" t="str">
        <x:v>RETAINS</x:v>
      </x:c>
      <x:c r="H7" s="73" t="str">
        <x:v>Movement-adjacent</x:v>
      </x:c>
      <x:c r="I7" s="73" t="str">
        <x:v>Peer-reviewed journal article</x:v>
      </x:c>
      <x:c r="J7" s="73" t="str">
        <x:v>Belief alone is too thin—justice requires a feminist public that actively hears nuance and listens for marginalized voices through collective political work.</x:v>
      </x:c>
      <x:c r="K7" s="73" t="str">
        <x:v>Critiques a simplified belief practice while affirming political listening and marginalized knowledge.</x:v>
      </x:c>
      <x:c r="L7" s="73" t="str">
        <x:v>DIRECT ENTAILMENT</x:v>
      </x:c>
      <x:c r="M7" s="73" t="str">
        <x:v>DIRECT ENTAILMENT</x:v>
      </x:c>
      <x:c r="N7" s="74" t="str">
        <x:v>www.doi.org/10.1177/09646639241278567</x:v>
      </x:c>
    </x:row>
    <x:row r="8" ht="58" customHeight="1">
      <x:c r="A8" s="75" t="n">
        <x:v>16</x:v>
      </x:c>
      <x:c r="B8" s="76" t="n">
        <x:v>2021</x:v>
      </x:c>
      <x:c r="C8" s="76" t="str">
        <x:v>Renée Jorgensen Bolinger</x:v>
      </x:c>
      <x:c r="D8" s="76" t="str">
        <x:v>#BelieveWomen and the Ethics of Belief</x:v>
      </x:c>
      <x:c r="E8" s="76" t="str">
        <x:v>INTERNAL GORGONWARS</x:v>
      </x:c>
      <x:c r="F8" s="76" t="str">
        <x:v>RETAINS</x:v>
      </x:c>
      <x:c r="G8" s="76" t="str">
        <x:v>RETAINS WITH QUALIFICATION</x:v>
      </x:c>
      <x:c r="H8" s="76" t="str">
        <x:v>Direct #MeToo defense / internal reply</x:v>
      </x:c>
      <x:c r="I8" s="76" t="str">
        <x:v>Book chapter</x:v>
      </x:c>
      <x:c r="J8" s="76" t="str">
        <x:v>#BelieveWomen should mean count women’s testimony as real evidence and correct sexist under-trust, not believe uncritically or against the whole evidence.</x:v>
      </x:c>
      <x:c r="K8" s="76" t="str">
        <x:v>A qualified defense rather than foundational rejection.</x:v>
      </x:c>
      <x:c r="L8" s="76" t="str">
        <x:v>DIRECT ENTAILMENT</x:v>
      </x:c>
      <x:c r="M8" s="76" t="str">
        <x:v>DIRECT ENTAILMENT</x:v>
      </x:c>
      <x:c r="N8" s="77" t="str">
        <x:v>www.doi.org/10.18574/nyu/9781479811595.003.0006</x:v>
      </x:c>
    </x:row>
    <x:row r="9" ht="58" customHeight="1">
      <x:c r="A9" s="72" t="n">
        <x:v>17</x:v>
      </x:c>
      <x:c r="B9" s="73" t="n">
        <x:v>2022</x:v>
      </x:c>
      <x:c r="C9" s="73" t="str">
        <x:v>Alexandra Lloyd</x:v>
      </x:c>
      <x:c r="D9" s="73" t="str">
        <x:v>#MeToo &amp; the Role of Outright Belief</x:v>
      </x:c>
      <x:c r="E9" s="73" t="str">
        <x:v>INTERNAL GORGONWARS</x:v>
      </x:c>
      <x:c r="F9" s="73" t="str">
        <x:v>RETAINS</x:v>
      </x:c>
      <x:c r="G9" s="73" t="str">
        <x:v>RETAINS</x:v>
      </x:c>
      <x:c r="H9" s="73" t="str">
        <x:v>Direct #MeToo defense / internal reply</x:v>
      </x:c>
      <x:c r="I9" s="73" t="str">
        <x:v>Peer-reviewed journal article</x:v>
      </x:c>
      <x:c r="J9" s="73" t="str">
        <x:v>Ordinary community members may need outright belief to support an accuser properly, because public suspension of judgment can abandon her and warn other women they will also be doubted.</x:v>
      </x:c>
      <x:c r="K9" s="73" t="str">
        <x:v>Addresses ordinary supportive relationships rather than formal legal adjudication.</x:v>
      </x:c>
      <x:c r="L9" s="73" t="str">
        <x:v>DIRECT ENTAILMENT</x:v>
      </x:c>
      <x:c r="M9" s="73" t="str">
        <x:v>DIRECT ENTAILMENT</x:v>
      </x:c>
      <x:c r="N9" s="74" t="str">
        <x:v>www.doi.org/10.1007/s10677-022-10276-x</x:v>
      </x:c>
    </x:row>
    <x:row r="10" ht="58" customHeight="1">
      <x:c r="A10" s="75" t="n">
        <x:v>18</x:v>
      </x:c>
      <x:c r="B10" s="76" t="n">
        <x:v>2020</x:v>
      </x:c>
      <x:c r="C10" s="76" t="str">
        <x:v>Karyn L. Freedman</x:v>
      </x:c>
      <x:c r="D10" s="76" t="str">
        <x:v>The Epistemic Significance of #MeToo</x:v>
      </x:c>
      <x:c r="E10" s="76" t="str">
        <x:v>INTERNAL GORGONWARS</x:v>
      </x:c>
      <x:c r="F10" s="76" t="str">
        <x:v>RETAINS</x:v>
      </x:c>
      <x:c r="G10" s="76" t="str">
        <x:v>RETAINS</x:v>
      </x:c>
      <x:c r="H10" s="76" t="str">
        <x:v>Direct #MeToo defense / internal reply</x:v>
      </x:c>
      <x:c r="I10" s="76" t="str">
        <x:v>Peer-reviewed journal article</x:v>
      </x:c>
      <x:c r="J10" s="76" t="str">
        <x:v>Public disclosure is costly and collectively replaces false social stories, so survivors who incur those costs can be owed increased credibility.</x:v>
      </x:c>
      <x:c r="K10" s="76" t="str">
        <x:v>A defense of increased credibility, not a claim that identity makes every allegation true.</x:v>
      </x:c>
      <x:c r="L10" s="76" t="str">
        <x:v>DIRECT ENTAILMENT</x:v>
      </x:c>
      <x:c r="M10" s="76" t="str">
        <x:v>DIRECT ENTAILMENT</x:v>
      </x:c>
      <x:c r="N10" s="77" t="str">
        <x:v>www.doi.org/10.5206/fpq/2020.2.8030</x:v>
      </x:c>
    </x:row>
    <x:row r="11" ht="58" customHeight="1">
      <x:c r="A11" s="72" t="n">
        <x:v>19</x:v>
      </x:c>
      <x:c r="B11" s="73" t="n">
        <x:v>2022</x:v>
      </x:c>
      <x:c r="C11" s="73" t="str">
        <x:v>Hilkje C. Hänel</x:v>
      </x:c>
      <x:c r="D11" s="73" t="str">
        <x:v>#MeToo and testimonial injustice: An investigation of moral and conceptual knowledge</x:v>
      </x:c>
      <x:c r="E11" s="73" t="str">
        <x:v>INTERNAL GORGONWARS</x:v>
      </x:c>
      <x:c r="F11" s="73" t="str">
        <x:v>RETAINS</x:v>
      </x:c>
      <x:c r="G11" s="73" t="str">
        <x:v>RETAINS</x:v>
      </x:c>
      <x:c r="H11" s="73" t="str">
        <x:v>Direct #MeToo defense / internal reply</x:v>
      </x:c>
      <x:c r="I11" s="73" t="str">
        <x:v>Peer-reviewed journal article</x:v>
      </x:c>
      <x:c r="J11" s="73" t="str">
        <x:v>Marginalized testimony can reveal harms current concepts cannot yet name, so #MeToo can create moral and conceptual progress rather than merely report settled categories.</x:v>
      </x:c>
      <x:c r="K11" s="73" t="str">
        <x:v>Explains epistemic gain; it does not independently resolve how disputed individual claims should be adjudicated.</x:v>
      </x:c>
      <x:c r="L11" s="73" t="str">
        <x:v>DIRECT ENTAILMENT</x:v>
      </x:c>
      <x:c r="M11" s="73" t="str">
        <x:v>DIRECT ENTAILMENT</x:v>
      </x:c>
      <x:c r="N11" s="74" t="str">
        <x:v>www.doi.org/10.1177/01914537211017578</x:v>
      </x:c>
    </x:row>
    <x:row r="12" ht="58" customHeight="1">
      <x:c r="A12" s="75" t="n">
        <x:v>20</x:v>
      </x:c>
      <x:c r="B12" s="76" t="n">
        <x:v>2018</x:v>
      </x:c>
      <x:c r="C12" s="76" t="str">
        <x:v>Debra L. Jackson</x:v>
      </x:c>
      <x:c r="D12" s="76" t="str">
        <x:v>‘Me Too’: Epistemic Injustice and the Struggle for Recognition</x:v>
      </x:c>
      <x:c r="E12" s="76" t="str">
        <x:v>INTERNAL GORGONWARS</x:v>
      </x:c>
      <x:c r="F12" s="76" t="str">
        <x:v>RETAINS</x:v>
      </x:c>
      <x:c r="G12" s="76" t="str">
        <x:v>RETAINS</x:v>
      </x:c>
      <x:c r="H12" s="76" t="str">
        <x:v>Direct #MeToo defense / internal reply</x:v>
      </x:c>
      <x:c r="I12" s="76" t="str">
        <x:v>Peer-reviewed journal article</x:v>
      </x:c>
      <x:c r="J12" s="76" t="str">
        <x:v>Collective ‘me too’ lets isolated survivors recognize one another as knowers and turn private experience into shared social knowledge.</x:v>
      </x:c>
      <x:c r="K12" s="76" t="str">
        <x:v>Defends the movement’s epistemic function rather than criticizing its foundational premises.</x:v>
      </x:c>
      <x:c r="L12" s="76" t="str">
        <x:v>DIRECT ENTAILMENT</x:v>
      </x:c>
      <x:c r="M12" s="76" t="str">
        <x:v>DIRECT ENTAILMENT</x:v>
      </x:c>
      <x:c r="N12" s="77" t="str">
        <x:v>www.doi.org/10.5206/fpq/2018.4.6231</x:v>
      </x:c>
    </x:row>
    <x:row r="13" ht="58" customHeight="1">
      <x:c r="A13" s="72" t="n">
        <x:v>27</x:v>
      </x:c>
      <x:c r="B13" s="73" t="n">
        <x:v>2021</x:v>
      </x:c>
      <x:c r="C13" s="73" t="str">
        <x:v>Daniel Maggen</x:v>
      </x:c>
      <x:c r="D13" s="73" t="str">
        <x:v>‘When You’re a Star’: The Unnamed Wrong of Sexual Degradation</x:v>
      </x:c>
      <x:c r="E13" s="73" t="str">
        <x:v>INTERNAL GORGONWARS</x:v>
      </x:c>
      <x:c r="F13" s="73" t="str">
        <x:v>RETAINS</x:v>
      </x:c>
      <x:c r="G13" s="73" t="str">
        <x:v>NO EVIDENCE</x:v>
      </x:c>
      <x:c r="H13" s="73" t="str">
        <x:v>Direct #MeToo defense / internal reply</x:v>
      </x:c>
      <x:c r="I13" s="73" t="str">
        <x:v>Peer-reviewed journal article</x:v>
      </x:c>
      <x:c r="J13" s="73" t="str">
        <x:v>#MeToo’s broad grouping can be principled because it identifies sexual degradation, a wrong missed by assault and harassment law in which domination overrides another person’s sexual judgment.</x:v>
      </x:c>
      <x:c r="K13" s="73" t="str">
        <x:v>A constructive internal account rather than foundational dissent.</x:v>
      </x:c>
      <x:c r="L13" s="73" t="str">
        <x:v>DIRECT ENTAILMENT</x:v>
      </x:c>
      <x:c r="M13" s="73" t="str">
        <x:v>NO EVIDENCE</x:v>
      </x:c>
      <x:c r="N13" s="74" t="str">
        <x:v>www.law.georgetown.edu/georgetown-law-journal/in-print/volume-109/volume-109-issue-3-february-2021/when-youre-a-star-the-unnamed-wrong-of-sexual-degradation/</x:v>
      </x:c>
    </x:row>
    <x:row r="14" ht="58" customHeight="1">
      <x:c r="A14" s="75" t="n">
        <x:v>28</x:v>
      </x:c>
      <x:c r="B14" s="76" t="n">
        <x:v>2019</x:v>
      </x:c>
      <x:c r="C14" s="76" t="str">
        <x:v>Charlotte Knowles</x:v>
      </x:c>
      <x:c r="D14" s="76" t="str">
        <x:v>Beauvoir on Women’s Complicity in Their Own Unfreedom</x:v>
      </x:c>
      <x:c r="E14" s="76" t="str">
        <x:v>INTERNAL GORGONWARS</x:v>
      </x:c>
      <x:c r="F14" s="76" t="str">
        <x:v>RETAINS</x:v>
      </x:c>
      <x:c r="G14" s="76" t="str">
        <x:v>NO EVIDENCE</x:v>
      </x:c>
      <x:c r="H14" s="76" t="str">
        <x:v>Direct #MeToo defense / internal reply</x:v>
      </x:c>
      <x:c r="I14" s="76" t="str">
        <x:v>Peer-reviewed journal article</x:v>
      </x:c>
      <x:c r="J14" s="76" t="str">
        <x:v>A woman can sincerely call a sexual norm liberating while an oppressive social world shapes that choice, so Deneuve-style agency claims may be active complicity rather than freedom.</x:v>
      </x:c>
      <x:c r="K14" s="76" t="str">
        <x:v>A reception and theoretical counterargument, not evidence that every dissenter lacks agency.</x:v>
      </x:c>
      <x:c r="L14" s="76" t="str">
        <x:v>DIRECT ENTAILMENT</x:v>
      </x:c>
      <x:c r="M14" s="76" t="str">
        <x:v>NO EVIDENCE</x:v>
      </x:c>
      <x:c r="N14" s="77" t="str">
        <x:v>www.doi.org/10.1111/hypa.12469</x:v>
      </x:c>
    </x:row>
    <x:row r="15" ht="58" customHeight="1">
      <x:c r="A15" s="72" t="n">
        <x:v>51</x:v>
      </x:c>
      <x:c r="B15" s="73" t="n">
        <x:v>2018</x:v>
      </x:c>
      <x:c r="C15" s="73" t="str">
        <x:v>Franco Palazzi</x:v>
      </x:c>
      <x:c r="D15" s="73" t="str">
        <x:v>Weinstein. Caro La Cecla non sono d’accordo</x:v>
      </x:c>
      <x:c r="E15" s="73" t="str">
        <x:v>INTERNAL GORGONWARS</x:v>
      </x:c>
      <x:c r="F15" s="73" t="str">
        <x:v>RETAINS</x:v>
      </x:c>
      <x:c r="G15" s="73" t="str">
        <x:v>RETAINS</x:v>
      </x:c>
      <x:c r="H15" s="73" t="str">
        <x:v>Public intervention</x:v>
      </x:c>
      <x:c r="I15" s="73" t="str">
        <x:v>Newspaper / opinion</x:v>
      </x:c>
      <x:c r="J15" s="73" t="str">
        <x:v>La Cecla mistakes structural sexism for a clash of intentions, because men’s privileged position limits their ability to define women’s experience and apparent neutrality reproduces male power.</x:v>
      </x:c>
      <x:c r="K15" s="73" t="str">
        <x:v>A rebuttal and reception specimen, not proof that all feminism formally excommunicates La Cecla.</x:v>
      </x:c>
      <x:c r="L15" s="73" t="str">
        <x:v>DIRECT ENTAILMENT</x:v>
      </x:c>
      <x:c r="M15" s="73" t="str">
        <x:v>DIRECT ENTAILMENT</x:v>
      </x:c>
      <x:c r="N15" s="74" t="str">
        <x:v>www.doppiozero.com/weinstein-caro-la-cecla-non-sono-daccordo</x:v>
      </x:c>
    </x:row>
    <x:row r="16" ht="58" customHeight="1">
      <x:c r="A16" s="75" t="n">
        <x:v>136</x:v>
      </x:c>
      <x:c r="B16" s="76" t="n">
        <x:v>2019</x:v>
      </x:c>
      <x:c r="C16" s="76" t="str">
        <x:v>Jane Gallop</x:v>
      </x:c>
      <x:c r="D16" s="76" t="str">
        <x:v>Laura Kipnis. Unwanted Advances: Sexual Paranoia Comes to Campus</x:v>
      </x:c>
      <x:c r="E16" s="76" t="str">
        <x:v>INTERNAL GORGONWARS</x:v>
      </x:c>
      <x:c r="F16" s="76" t="str">
        <x:v>RETAINS</x:v>
      </x:c>
      <x:c r="G16" s="76" t="str">
        <x:v>RETAINS WITH QUALIFICATION</x:v>
      </x:c>
      <x:c r="H16" s="76" t="str">
        <x:v>Direct #MeToo defense / internal reply</x:v>
      </x:c>
      <x:c r="I16" s="76" t="str">
        <x:v>Academic forum / editorial</x:v>
      </x:c>
      <x:c r="J16" s="76" t="str">
        <x:v>The anti-harassment fight is necessary, but it betrays feminism when bureaucracies protect supposedly delicate women by erasing erotic agency and reviving paternalism.</x:v>
      </x:c>
      <x:c r="K16" s="76" t="str">
        <x:v>A scholarly book review that explicitly praises #MeToo; its retention of technical standpoint epistemology is a system inference rather than a direct statement and remains an evidence debt.</x:v>
      </x:c>
      <x:c r="L16" s="76" t="str">
        <x:v>DIRECT EXPLICIT</x:v>
      </x:c>
      <x:c r="M16" s="76" t="str">
        <x:v>SYSTEM INFERENCE</x:v>
      </x:c>
      <x:c r="N16" s="77" t="str">
        <x:v>https://criticalinquiry.uchicago.edu/jane_gallop_reviews_unwanted_advances/</x:v>
      </x:c>
    </x:row>
    <x:row r="17" ht="58" customHeight="1">
      <x:c r="A17" s="72" t="n">
        <x:v>137</x:v>
      </x:c>
      <x:c r="B17" s="73" t="n">
        <x:v>2019</x:v>
      </x:c>
      <x:c r="C17" s="73" t="str">
        <x:v>Jenny Sundén and Susanna Paasonen</x:v>
      </x:c>
      <x:c r="D17" s="73" t="str">
        <x:v>Inappropriate Laughter: Affective Homophily and the Unlikely Comedy of #MeToo</x:v>
      </x:c>
      <x:c r="E17" s="73" t="str">
        <x:v>INTERNAL GORGONWARS</x:v>
      </x:c>
      <x:c r="F17" s="73" t="str">
        <x:v>RETAINS</x:v>
      </x:c>
      <x:c r="G17" s="73" t="str">
        <x:v>RETAINS WITH QUALIFICATION</x:v>
      </x:c>
      <x:c r="H17" s="73" t="str">
        <x:v>Direct #MeToo defense / internal reply</x:v>
      </x:c>
      <x:c r="I17" s="73" t="str">
        <x:v>Peer-reviewed journal article</x:v>
      </x:c>
      <x:c r="J17" s="73" t="str">
        <x:v>Shared outrage can mobilize #MeToo, but solidarity that requires everyone to feel the same suffocates dissent, ambiguity, and feminism's disruptive humor.</x:v>
      </x:c>
      <x:c r="K17" s="73" t="str">
        <x:v>An affect and humor analysis centered on Nanette, not a rejection of either foundational premise; retention of standpoint is a system inference and should remain flagged.</x:v>
      </x:c>
      <x:c r="L17" s="73" t="str">
        <x:v>DIRECT ENTAILMENT</x:v>
      </x:c>
      <x:c r="M17" s="73" t="str">
        <x:v>SYSTEM INFERENCE</x:v>
      </x:c>
      <x:c r="N17" s="74" t="str">
        <x:v>https://journals.sagepub.com/doi/10.1177/2056305119883425</x:v>
      </x:c>
    </x:row>
    <x:row r="18" ht="58" customHeight="1">
      <x:c r="A18" s="75" t="n">
        <x:v>138</x:v>
      </x:c>
      <x:c r="B18" s="76" t="n">
        <x:v>2021</x:v>
      </x:c>
      <x:c r="C18" s="76" t="str">
        <x:v>Sigurd Allern and Ester Pollack</x:v>
      </x:c>
      <x:c r="D18" s="76" t="str">
        <x:v>When journalists lose their foothold: Swedish and Norwegian verification scandals in #Metoo-movement coverage</x:v>
      </x:c>
      <x:c r="E18" s="76" t="str">
        <x:v>INTERNAL GORGONWARS</x:v>
      </x:c>
      <x:c r="F18" s="76" t="str">
        <x:v>RETAINS</x:v>
      </x:c>
      <x:c r="G18" s="76" t="str">
        <x:v>RETAINS WITH QUALIFICATION</x:v>
      </x:c>
      <x:c r="H18" s="76" t="str">
        <x:v>Empirical consequence study</x:v>
      </x:c>
      <x:c r="I18" s="76" t="str">
        <x:v>Peer-reviewed journal article</x:v>
      </x:c>
      <x:c r="J18" s="76" t="str">
        <x:v>#MeToo exposed a real structural problem, but market-driven scandal journalism betrayed it by publishing unverified personalized stories that harmed people and displaced structural reform.</x:v>
      </x:c>
      <x:c r="K18" s="76" t="str">
        <x:v>The article critiques media coverage and verification rather than #MeToo's foundational premises; its standpoint position is qualified rather than rejected.</x:v>
      </x:c>
      <x:c r="L18" s="76" t="str">
        <x:v>DIRECT EXPLICIT</x:v>
      </x:c>
      <x:c r="M18" s="76" t="str">
        <x:v>DIRECT ENTAILMENT</x:v>
      </x:c>
      <x:c r="N18" s="77" t="str">
        <x:v>https://tidsskrift.dk/journalistica/article/view/125415</x:v>
      </x:c>
    </x:row>
    <x:row r="19" ht="58" customHeight="1">
      <x:c r="A19" s="72" t="n">
        <x:v>142</x:v>
      </x:c>
      <x:c r="B19" s="73" t="n">
        <x:v>2018</x:v>
      </x:c>
      <x:c r="C19" s="73" t="str">
        <x:v>Micaela di Leonardo</x:v>
      </x:c>
      <x:c r="D19" s="73" t="str">
        <x:v>#MeToo is nowhere near enough</x:v>
      </x:c>
      <x:c r="E19" s="73" t="str">
        <x:v>INTERNAL GORGONWARS</x:v>
      </x:c>
      <x:c r="F19" s="73" t="str">
        <x:v>RETAINS</x:v>
      </x:c>
      <x:c r="G19" s="73" t="str">
        <x:v>RETAINS</x:v>
      </x:c>
      <x:c r="H19" s="73" t="str">
        <x:v>Direct #MeToo defense / internal reply</x:v>
      </x:c>
      <x:c r="I19" s="73" t="str">
        <x:v>Academic forum / editorial</x:v>
      </x:c>
      <x:c r="J19" s="73" t="str">
        <x:v>#MeToo is a promising beginning, but isolated stories need deeper feminist theory, organization, and alliances with race, class, queer, and other justice struggles to change institutions.</x:v>
      </x:c>
      <x:c r="K19" s="73" t="str">
        <x:v>The premise classification relies on Pipyrou's detailed peer-reviewed forum précis because the target comment was paywalled; exact primary-text locators remain an evidence debt.</x:v>
      </x:c>
      <x:c r="L19" s="73" t="str">
        <x:v>SECONDARY REPORT</x:v>
      </x:c>
      <x:c r="M19" s="73" t="str">
        <x:v>SECONDARY REPORT</x:v>
      </x:c>
      <x:c r="N19" s="74" t="str">
        <x:v>https://www.journals.uchicago.edu/doi/full/10.1086/701005</x:v>
      </x:c>
    </x:row>
    <x:row r="20" ht="58" customHeight="1">
      <x:c r="A20" s="78" t="n">
        <x:v>145</x:v>
      </x:c>
      <x:c r="B20" s="79" t="n">
        <x:v>2016</x:v>
      </x:c>
      <x:c r="C20" s="79" t="str">
        <x:v>Alison Phipps</x:v>
      </x:c>
      <x:c r="D20" s="79" t="str">
        <x:v>Whose personal is more political? Experience in contemporary feminist politics</x:v>
      </x:c>
      <x:c r="E20" s="79" t="str">
        <x:v>INTERNAL GORGONWARS</x:v>
      </x:c>
      <x:c r="F20" s="79" t="str">
        <x:v>RETAINS</x:v>
      </x:c>
      <x:c r="G20" s="79" t="str">
        <x:v>RETAINS WITH QUALIFICATION</x:v>
      </x:c>
      <x:c r="H20" s="79" t="str">
        <x:v>Foundational antecedent</x:v>
      </x:c>
      <x:c r="I20" s="79" t="str">
        <x:v>Peer-reviewed journal article</x:v>
      </x:c>
      <x:c r="J20" s="79" t="str">
        <x:v>Personal testimony can become political capital that privileged feminists use to generate emotion, authorize agendas, and silence critics, so experience must be situated rather than treated as self-validating.</x:v>
      </x:c>
      <x:c r="K20" s="79" t="str">
        <x:v>This is a strong critique of commodified and decontextualized experience, but it retains personal-to-political feminism and gives marginal social position corrective weight; it is therefore internal under the fixed two-premise rule.</x:v>
      </x:c>
      <x:c r="L20" s="79" t="str">
        <x:v>ABSTRACT ONLY</x:v>
      </x:c>
      <x:c r="M20" s="79" t="str">
        <x:v>ABSTRACT ONLY</x:v>
      </x:c>
      <x:c r="N20" s="80" t="str">
        <x:v>https://doi.org/10.1177/1464700116663831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5304ca327d840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30" hidden="0" customWidth="1"/>
    <x:col min="4" max="4" width="44" hidden="0" customWidth="1"/>
    <x:col min="5" max="5" width="27" hidden="0" customWidth="1"/>
    <x:col min="6" max="6" width="22" hidden="0" customWidth="1"/>
    <x:col min="7" max="7" width="22" hidden="0" customWidth="1"/>
    <x:col min="8" max="8" width="27" hidden="0" customWidth="1"/>
    <x:col min="9" max="9" width="27" hidden="0" customWidth="1"/>
    <x:col min="10" max="10" width="70" hidden="0" customWidth="1"/>
    <x:col min="11" max="11" width="56" hidden="0" customWidth="1"/>
    <x:col min="12" max="12" width="21" hidden="0" customWidth="1"/>
    <x:col min="13" max="13" width="21" hidden="0" customWidth="1"/>
    <x:col min="14" max="14" width="58" hidden="0" customWidth="1"/>
  </x:cols>
  <x:sheetData>
    <x:row r="1" ht="30" customHeight="1">
      <x:c r="A1" s="3" t="str">
        <x:v>Premise positions unresolved</x:v>
      </x:c>
    </x:row>
    <x:row r="2" ht="38" customHeight="1">
      <x:c r="A2" s="7" t="str">
        <x:v>Available evidence leaves at least one premise unstated. Criticism, due process, or anti-carcerality alone does not settle the split.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8" customHeight="1">
      <x:c r="A4" s="11" t="str">
        <x:v>Source ID</x:v>
      </x:c>
      <x:c r="B4" s="11" t="str">
        <x:v>Year</x:v>
      </x:c>
      <x:c r="C4" s="11" t="str">
        <x:v>Authors</x:v>
      </x:c>
      <x:c r="D4" s="11" t="str">
        <x:v>Title</x:v>
      </x:c>
      <x:c r="E4" s="11" t="str">
        <x:v>Premise class</x:v>
      </x:c>
      <x:c r="F4" s="11" t="str">
        <x:v>PIP position</x:v>
      </x:c>
      <x:c r="G4" s="11" t="str">
        <x:v>Standpoint position</x:v>
      </x:c>
      <x:c r="H4" s="11" t="str">
        <x:v>#MeToo relation</x:v>
      </x:c>
      <x:c r="I4" s="11" t="str">
        <x:v>Publication type</x:v>
      </x:c>
      <x:c r="J4" s="11" t="str">
        <x:v>One-line ironman thesis</x:v>
      </x:c>
      <x:c r="K4" s="11" t="str">
        <x:v>Evidence limit / anti-TWIST guardrail</x:v>
      </x:c>
      <x:c r="L4" s="11" t="str">
        <x:v>PIP evidence strength</x:v>
      </x:c>
      <x:c r="M4" s="11" t="str">
        <x:v>Standpoint evidence strength</x:v>
      </x:c>
      <x:c r="N4" s="11" t="str">
        <x:v>Primary URL</x:v>
      </x:c>
    </x:row>
    <x:row r="5" ht="58" customHeight="1">
      <x:c r="A5" s="101" t="n">
        <x:v>13</x:v>
      </x:c>
      <x:c r="B5" s="102" t="n">
        <x:v>2025</x:v>
      </x:c>
      <x:c r="C5" s="102" t="str">
        <x:v>Sara Minogue</x:v>
      </x:c>
      <x:c r="D5" s="102" t="str">
        <x:v>Margaret Atwood, #BelieveWomen, and the Limits of Literary Criticism</x:v>
      </x:c>
      <x:c r="E5" s="102" t="str">
        <x:v>PREMISES UNRESOLVED</x:v>
      </x:c>
      <x:c r="F5" s="102" t="str">
        <x:v>NO EVIDENCE</x:v>
      </x:c>
      <x:c r="G5" s="102" t="str">
        <x:v>NO EVIDENCE</x:v>
      </x:c>
      <x:c r="H5" s="102" t="str">
        <x:v>Direct #MeToo critique</x:v>
      </x:c>
      <x:c r="I5" s="102" t="str">
        <x:v>Peer-reviewed journal article</x:v>
      </x:c>
      <x:c r="J5" s="102" t="str">
        <x:v>Critics should test Atwood’s actual body of work rather than infer defective feminism from her doubts about #BelieveWomen and resistance to one ideological frame.</x:v>
      </x:c>
      <x:c r="K5" s="102" t="str">
        <x:v>Provisional premise classification: criticism of ideological literary reading does not itself prove rejection of standpoint epistemology.</x:v>
      </x:c>
      <x:c r="L5" s="102" t="str">
        <x:v>NO EVIDENCE</x:v>
      </x:c>
      <x:c r="M5" s="102" t="str">
        <x:v>NO EVIDENCE</x:v>
      </x:c>
      <x:c r="N5" s="103" t="str">
        <x:v>www.doi.org/10.14288/cl.vi260.199845</x:v>
      </x:c>
    </x:row>
    <x:row r="6" ht="58" customHeight="1">
      <x:c r="A6" s="75" t="n">
        <x:v>14</x:v>
      </x:c>
      <x:c r="B6" s="76" t="n">
        <x:v>2024</x:v>
      </x:c>
      <x:c r="C6" s="76" t="str">
        <x:v>Klaudyna Horniczak, Andrzej Porębski, and Izabela Skoczeń</x:v>
      </x:c>
      <x:c r="D6" s="76" t="str">
        <x:v>Is Epistemic Status Gender-Biased? Gender As a Predictor of Testimonial Reliability Assessments in Violent Crimes</x:v>
      </x:c>
      <x:c r="E6" s="76" t="str">
        <x:v>PREMISES UNRESOLVED</x:v>
      </x:c>
      <x:c r="F6" s="76" t="str">
        <x:v>NO EVIDENCE</x:v>
      </x:c>
      <x:c r="G6" s="76" t="str">
        <x:v>NO EVIDENCE</x:v>
      </x:c>
      <x:c r="H6" s="76" t="str">
        <x:v>Movement-adjacent</x:v>
      </x:c>
      <x:c r="I6" s="76" t="str">
        <x:v>Peer-reviewed journal article</x:v>
      </x:c>
      <x:c r="J6" s="76" t="str">
        <x:v>Identical allegations should start with equal trust regardless of gender and the experiments show gender can distort ratings, while the authors leave open possible standpoint-derived expertise.</x:v>
      </x:c>
      <x:c r="K6" s="76" t="str">
        <x:v>Conditional evidence: equal initial trust is not the same as rejecting every standpoint claim.</x:v>
      </x:c>
      <x:c r="L6" s="76" t="str">
        <x:v>NO EVIDENCE</x:v>
      </x:c>
      <x:c r="M6" s="76" t="str">
        <x:v>NO EVIDENCE</x:v>
      </x:c>
      <x:c r="N6" s="77" t="str">
        <x:v>www.doi.org/10.1007/s11196-023-10055-6</x:v>
      </x:c>
    </x:row>
    <x:row r="7" ht="58" customHeight="1">
      <x:c r="A7" s="72" t="n">
        <x:v>21</x:v>
      </x:c>
      <x:c r="B7" s="73" t="n">
        <x:v>2022</x:v>
      </x:c>
      <x:c r="C7" s="73" t="str">
        <x:v>Sanford C. Goldberg</x:v>
      </x:c>
      <x:c r="D7" s="73" t="str">
        <x:v>What Is a Speaker Owed?</x:v>
      </x:c>
      <x:c r="E7" s="73" t="str">
        <x:v>PREMISES UNRESOLVED</x:v>
      </x:c>
      <x:c r="F7" s="73" t="str">
        <x:v>NO EVIDENCE</x:v>
      </x:c>
      <x:c r="G7" s="73" t="str">
        <x:v>NO EVIDENCE</x:v>
      </x:c>
      <x:c r="H7" s="73" t="str">
        <x:v>Movement-adjacent</x:v>
      </x:c>
      <x:c r="I7" s="73" t="str">
        <x:v>Peer-reviewed journal article</x:v>
      </x:c>
      <x:c r="J7" s="73" t="str">
        <x:v>A fair listener must bracket evidence socially corrupted by racism or sexism, because mechanically following biased evidence can still wrong a knowledgeable speaker.</x:v>
      </x:c>
      <x:c r="K7" s="73" t="str">
        <x:v>An adjacent epistemology article, not a #MeToo study or direct premise rejection.</x:v>
      </x:c>
      <x:c r="L7" s="73" t="str">
        <x:v>NO EVIDENCE</x:v>
      </x:c>
      <x:c r="M7" s="73" t="str">
        <x:v>NO EVIDENCE</x:v>
      </x:c>
      <x:c r="N7" s="74" t="str">
        <x:v>www.doi.org/10.1111/papa.12219</x:v>
      </x:c>
    </x:row>
    <x:row r="8" ht="58" customHeight="1">
      <x:c r="A8" s="75" t="n">
        <x:v>22</x:v>
      </x:c>
      <x:c r="B8" s="76" t="n">
        <x:v>2019</x:v>
      </x:c>
      <x:c r="C8" s="76" t="str">
        <x:v>Cyndi Darnell</x:v>
      </x:c>
      <x:c r="D8" s="76" t="str">
        <x:v>Consent Lies Destroy Lives: Pleasure as the Sweetest Taboo</x:v>
      </x:c>
      <x:c r="E8" s="76" t="str">
        <x:v>PREMISES UNRESOLVED</x:v>
      </x:c>
      <x:c r="F8" s="76" t="str">
        <x:v>NO EVIDENCE</x:v>
      </x:c>
      <x:c r="G8" s="76" t="str">
        <x:v>NO EVIDENCE</x:v>
      </x:c>
      <x:c r="H8" s="76" t="str">
        <x:v>Direct #MeToo critique</x:v>
      </x:c>
      <x:c r="I8" s="76" t="str">
        <x:v>Peer-reviewed journal article</x:v>
      </x:c>
      <x:c r="J8" s="76" t="str">
        <x:v>A useful consent ethic must explain pleasure, erotic desire, mutuality, and complex power rather than reduce sex to a yes/no anti-violence checklist.</x:v>
      </x:c>
      <x:c r="K8" s="76" t="str">
        <x:v>Expands consent analysis but does not establish a position on standpoint epistemology or the political boundary.</x:v>
      </x:c>
      <x:c r="L8" s="76" t="str">
        <x:v>NO EVIDENCE</x:v>
      </x:c>
      <x:c r="M8" s="76" t="str">
        <x:v>NO EVIDENCE</x:v>
      </x:c>
      <x:c r="N8" s="77" t="str">
        <x:v>www.doi.org/10.1007/978-3-030-15213-0_16</x:v>
      </x:c>
    </x:row>
    <x:row r="9" ht="58" customHeight="1">
      <x:c r="A9" s="72" t="n">
        <x:v>23</x:v>
      </x:c>
      <x:c r="B9" s="73" t="n">
        <x:v>2019</x:v>
      </x:c>
      <x:c r="C9" s="73" t="str">
        <x:v>Heidi Matthews</x:v>
      </x:c>
      <x:c r="D9" s="73" t="str">
        <x:v>#MeToo as Sex Panic</x:v>
      </x:c>
      <x:c r="E9" s="73" t="str">
        <x:v>PREMISES UNRESOLVED</x:v>
      </x:c>
      <x:c r="F9" s="73" t="str">
        <x:v>NO EVIDENCE</x:v>
      </x:c>
      <x:c r="G9" s="73" t="str">
        <x:v>NO EVIDENCE</x:v>
      </x:c>
      <x:c r="H9" s="73" t="str">
        <x:v>Direct #MeToo critique</x:v>
      </x:c>
      <x:c r="I9" s="73" t="str">
        <x:v>Peer-reviewed journal article</x:v>
      </x:c>
      <x:c r="J9" s="73" t="str">
        <x:v>#MeToo turns sexually conservative when legal consent is treated as a complete moral switch, so feminism needs room for desire, ambiguity, forgiveness, and noncarceral accountability.</x:v>
      </x:c>
      <x:c r="K9" s="73" t="str">
        <x:v>An immanent feminist critique; anti-carceral and pro-ambiguity positions do not by themselves prove foundational rejection.</x:v>
      </x:c>
      <x:c r="L9" s="73" t="str">
        <x:v>NO EVIDENCE</x:v>
      </x:c>
      <x:c r="M9" s="73" t="str">
        <x:v>NO EVIDENCE</x:v>
      </x:c>
      <x:c r="N9" s="74" t="str">
        <x:v>www.doi.org/10.1007/978-3-030-15213-0_17</x:v>
      </x:c>
    </x:row>
    <x:row r="10" ht="58" customHeight="1">
      <x:c r="A10" s="75" t="n">
        <x:v>24</x:v>
      </x:c>
      <x:c r="B10" s="76" t="n">
        <x:v>2023</x:v>
      </x:c>
      <x:c r="C10" s="76" t="str">
        <x:v>Andrea Waling</x:v>
      </x:c>
      <x:c r="D10" s="76" t="str">
        <x:v>‘Pay close attention to what my eyes are saying without having to spell it out’: Heterosexual relations and discourses of sexual communication in #MeToo commentaries</x:v>
      </x:c>
      <x:c r="E10" s="76" t="str">
        <x:v>PREMISES UNRESOLVED</x:v>
      </x:c>
      <x:c r="F10" s="76" t="str">
        <x:v>NO EVIDENCE</x:v>
      </x:c>
      <x:c r="G10" s="76" t="str">
        <x:v>NO EVIDENCE</x:v>
      </x:c>
      <x:c r="H10" s="76" t="str">
        <x:v>Direct #MeToo critique</x:v>
      </x:c>
      <x:c r="I10" s="76" t="str">
        <x:v>Peer-reviewed journal article</x:v>
      </x:c>
      <x:c r="J10" s="76" t="str">
        <x:v>#MeToo commentary gives people contradictory sexual rules, and a process view better captures changing desire, verbal and nonverbal communication, awkwardness, and agency.</x:v>
      </x:c>
      <x:c r="K10" s="76" t="str">
        <x:v>Studies commentary and communication models; it does not reject public accountability or standpoint epistemology.</x:v>
      </x:c>
      <x:c r="L10" s="76" t="str">
        <x:v>NO EVIDENCE</x:v>
      </x:c>
      <x:c r="M10" s="76" t="str">
        <x:v>NO EVIDENCE</x:v>
      </x:c>
      <x:c r="N10" s="77" t="str">
        <x:v>www.doi.org/10.1177/13634607211060834</x:v>
      </x:c>
    </x:row>
    <x:row r="11" ht="58" customHeight="1">
      <x:c r="A11" s="72" t="n">
        <x:v>25</x:v>
      </x:c>
      <x:c r="B11" s="73" t="n">
        <x:v>2020</x:v>
      </x:c>
      <x:c r="C11" s="73" t="str">
        <x:v>Orna Guralnik</x:v>
      </x:c>
      <x:c r="D11" s="73" t="str">
        <x:v>#Me Too, I Was Interpellated</x:v>
      </x:c>
      <x:c r="E11" s="73" t="str">
        <x:v>PREMISES UNRESOLVED</x:v>
      </x:c>
      <x:c r="F11" s="73" t="str">
        <x:v>NO EVIDENCE</x:v>
      </x:c>
      <x:c r="G11" s="73" t="str">
        <x:v>NO EVIDENCE</x:v>
      </x:c>
      <x:c r="H11" s="73" t="str">
        <x:v>Direct #MeToo critique</x:v>
      </x:c>
      <x:c r="I11" s="73" t="str">
        <x:v>Peer-reviewed journal article</x:v>
      </x:c>
      <x:c r="J11" s="73" t="str">
        <x:v>Sexual events can change meaning as people and ideological contexts change, so responsible interpretation must preserve uncertainty rather than freeze one final story.</x:v>
      </x:c>
      <x:c r="K11" s="73" t="str">
        <x:v>A psychoanalytic reflection rather than an evidentiary or institutional program.</x:v>
      </x:c>
      <x:c r="L11" s="73" t="str">
        <x:v>NO EVIDENCE</x:v>
      </x:c>
      <x:c r="M11" s="73" t="str">
        <x:v>NO EVIDENCE</x:v>
      </x:c>
      <x:c r="N11" s="74" t="str">
        <x:v>www.doi.org/10.1080/10481885.2020.1744964</x:v>
      </x:c>
    </x:row>
    <x:row r="12" ht="58" customHeight="1">
      <x:c r="A12" s="75" t="n">
        <x:v>26</x:v>
      </x:c>
      <x:c r="B12" s="76" t="str">
        <x:v>2019 (2018 volume)</x:v>
      </x:c>
      <x:c r="C12" s="76" t="str">
        <x:v>Susan Kolod</x:v>
      </x:c>
      <x:c r="D12" s="76" t="str">
        <x:v>You Say Seduction and I Say Coercion: The Gray Areas of Consent</x:v>
      </x:c>
      <x:c r="E12" s="76" t="str">
        <x:v>PREMISES UNRESOLVED</x:v>
      </x:c>
      <x:c r="F12" s="76" t="str">
        <x:v>NO EVIDENCE</x:v>
      </x:c>
      <x:c r="G12" s="76" t="str">
        <x:v>NO EVIDENCE</x:v>
      </x:c>
      <x:c r="H12" s="76" t="str">
        <x:v>Direct #MeToo critique</x:v>
      </x:c>
      <x:c r="I12" s="76" t="str">
        <x:v>Peer-reviewed journal article</x:v>
      </x:c>
      <x:c r="J12" s="76" t="str">
        <x:v>Consent’s gray zone becomes clearer when people can notice desire or dissociation in the moment and freely stop, rather than treating seduction and coercion as self-evident labels.</x:v>
      </x:c>
      <x:c r="K12" s="76" t="str">
        <x:v>Clinical and psychoanalytic reasoning does not by itself settle legal proof or either foundational premise.</x:v>
      </x:c>
      <x:c r="L12" s="76" t="str">
        <x:v>NO EVIDENCE</x:v>
      </x:c>
      <x:c r="M12" s="76" t="str">
        <x:v>NO EVIDENCE</x:v>
      </x:c>
      <x:c r="N12" s="77" t="str">
        <x:v>www.doi.org/10.1080/00107530.2018.1527196</x:v>
      </x:c>
    </x:row>
    <x:row r="13" ht="58" customHeight="1">
      <x:c r="A13" s="72" t="n">
        <x:v>29</x:v>
      </x:c>
      <x:c r="B13" s="73" t="n">
        <x:v>2019</x:v>
      </x:c>
      <x:c r="C13" s="73" t="str">
        <x:v>Aya Gruber</x:v>
      </x:c>
      <x:c r="D13" s="73" t="str">
        <x:v>Sex Wars as Proxy Wars</x:v>
      </x:c>
      <x:c r="E13" s="73" t="str">
        <x:v>PREMISES UNRESOLVED</x:v>
      </x:c>
      <x:c r="F13" s="73" t="str">
        <x:v>NO EVIDENCE</x:v>
      </x:c>
      <x:c r="G13" s="73" t="str">
        <x:v>NO EVIDENCE</x:v>
      </x:c>
      <x:c r="H13" s="73" t="str">
        <x:v>Direct #MeToo critique</x:v>
      </x:c>
      <x:c r="I13" s="73" t="str">
        <x:v>Peer-reviewed journal article</x:v>
      </x:c>
      <x:c r="J13" s="73" t="str">
        <x:v>Sexual harm often becomes a symbolic battlefield for deeper disputes about hierarchy and capitalism, and a sex-indifferent analysis can expose power that sexual exceptionalism obscures.</x:v>
      </x:c>
      <x:c r="K13" s="73" t="str">
        <x:v>Does not establish rejection of the public/private collapse; it redirects an internal structural analysis.</x:v>
      </x:c>
      <x:c r="L13" s="73" t="str">
        <x:v>NO EVIDENCE</x:v>
      </x:c>
      <x:c r="M13" s="73" t="str">
        <x:v>NO EVIDENCE</x:v>
      </x:c>
      <x:c r="N13" s="74" t="str">
        <x:v>www.scholar.law.colorado.edu/faculty-articles/1232/</x:v>
      </x:c>
    </x:row>
    <x:row r="14" ht="58" customHeight="1">
      <x:c r="A14" s="75" t="n">
        <x:v>30</x:v>
      </x:c>
      <x:c r="B14" s="76" t="n">
        <x:v>2018</x:v>
      </x:c>
      <x:c r="C14" s="76" t="str">
        <x:v>Kristen Renwick Monroe</x:v>
      </x:c>
      <x:c r="D14" s="76" t="str">
        <x:v>Harassment Charges: MeToo but Due Process</x:v>
      </x:c>
      <x:c r="E14" s="76" t="str">
        <x:v>PREMISES UNRESOLVED</x:v>
      </x:c>
      <x:c r="F14" s="76" t="str">
        <x:v>NO EVIDENCE</x:v>
      </x:c>
      <x:c r="G14" s="76" t="str">
        <x:v>NO EVIDENCE</x:v>
      </x:c>
      <x:c r="H14" s="76" t="str">
        <x:v>Direct #MeToo critique</x:v>
      </x:c>
      <x:c r="I14" s="76" t="str">
        <x:v>Academic forum / editorial</x:v>
      </x:c>
      <x:c r="J14" s="76" t="str">
        <x:v>Institutions should treat harassment seriously through transparent rules, knowable procedures, and sanctions proportionate to proven wrongdoing, protecting complainants and accused people from opaque institutional power.</x:v>
      </x:c>
      <x:c r="K14" s="76" t="str">
        <x:v>A short intervention; due-process advocacy alone does not prove rejection of the two feminist premises.</x:v>
      </x:c>
      <x:c r="L14" s="76" t="str">
        <x:v>NO EVIDENCE</x:v>
      </x:c>
      <x:c r="M14" s="76" t="str">
        <x:v>NO EVIDENCE</x:v>
      </x:c>
      <x:c r="N14" s="77" t="str">
        <x:v>www.doi.org/10.1126/science.aau7986</x:v>
      </x:c>
    </x:row>
    <x:row r="15" ht="58" customHeight="1">
      <x:c r="A15" s="72" t="n">
        <x:v>31</x:v>
      </x:c>
      <x:c r="B15" s="73" t="n">
        <x:v>2022</x:v>
      </x:c>
      <x:c r="C15" s="73" t="str">
        <x:v>Nicole Buonocore Porter</x:v>
      </x:c>
      <x:c r="D15" s="73" t="str">
        <x:v>#MeToo and the Process That’s Due: Sexual Misconduct Where We Live, Work, and Learn</x:v>
      </x:c>
      <x:c r="E15" s="73" t="str">
        <x:v>PREMISES UNRESOLVED</x:v>
      </x:c>
      <x:c r="F15" s="73" t="str">
        <x:v>NO EVIDENCE</x:v>
      </x:c>
      <x:c r="G15" s="73" t="str">
        <x:v>NO EVIDENCE</x:v>
      </x:c>
      <x:c r="H15" s="73" t="str">
        <x:v>Direct #MeToo critique</x:v>
      </x:c>
      <x:c r="I15" s="73" t="str">
        <x:v>Law review article</x:v>
      </x:c>
      <x:c r="J15" s="73" t="str">
        <x:v>Similar misconduct receives inconsistent procedures under criminal law, Title VII, and Title IX, so procedural protections should be calibrated coherently across workplaces and schools.</x:v>
      </x:c>
      <x:c r="K15" s="73" t="str">
        <x:v>Does not simply demand criminal-trial process everywhere and does not establish foundational dissent.</x:v>
      </x:c>
      <x:c r="L15" s="73" t="str">
        <x:v>NO EVIDENCE</x:v>
      </x:c>
      <x:c r="M15" s="73" t="str">
        <x:v>NO EVIDENCE</x:v>
      </x:c>
      <x:c r="N15" s="74" t="str">
        <x:v>www.illinoislawreview.org/print/vol-2022-no-2/metoo-and-the-process-thats-due/</x:v>
      </x:c>
    </x:row>
    <x:row r="16" ht="58" customHeight="1">
      <x:c r="A16" s="75" t="n">
        <x:v>32</x:v>
      </x:c>
      <x:c r="B16" s="76" t="n">
        <x:v>2018</x:v>
      </x:c>
      <x:c r="C16" s="76" t="str">
        <x:v>Rachel Arnow-Richman</x:v>
      </x:c>
      <x:c r="D16" s="76" t="str">
        <x:v>Of Power and Process: Handling Harassers in an At-Will World</x:v>
      </x:c>
      <x:c r="E16" s="76" t="str">
        <x:v>PREMISES UNRESOLVED</x:v>
      </x:c>
      <x:c r="F16" s="76" t="str">
        <x:v>NO EVIDENCE</x:v>
      </x:c>
      <x:c r="G16" s="76" t="str">
        <x:v>NO EVIDENCE</x:v>
      </x:c>
      <x:c r="H16" s="76" t="str">
        <x:v>Direct #MeToo critique</x:v>
      </x:c>
      <x:c r="I16" s="76" t="str">
        <x:v>Peer-reviewed journal article</x:v>
      </x:c>
      <x:c r="J16" s="76" t="str">
        <x:v>At-will employment shields powerful executives through contracts while exposing ordinary workers to swift discipline, so accountability should remove elite protections while giving vulnerable workers fair procedures.</x:v>
      </x:c>
      <x:c r="K16" s="76" t="str">
        <x:v>An employment-law design argument, not a direct position on standpoint epistemology or the public/private boundary.</x:v>
      </x:c>
      <x:c r="L16" s="76" t="str">
        <x:v>NO EVIDENCE</x:v>
      </x:c>
      <x:c r="M16" s="76" t="str">
        <x:v>NO EVIDENCE</x:v>
      </x:c>
      <x:c r="N16" s="77" t="str">
        <x:v>www.yalelawjournal.org/essay/of-power-and-process</x:v>
      </x:c>
    </x:row>
    <x:row r="17" ht="58" customHeight="1">
      <x:c r="A17" s="72" t="n">
        <x:v>33</x:v>
      </x:c>
      <x:c r="B17" s="73" t="n">
        <x:v>2019</x:v>
      </x:c>
      <x:c r="C17" s="73" t="str">
        <x:v>Lesley Wexler</x:v>
      </x:c>
      <x:c r="D17" s="73" t="str">
        <x:v>#MeToo and Procedural Justice</x:v>
      </x:c>
      <x:c r="E17" s="73" t="str">
        <x:v>PREMISES UNRESOLVED</x:v>
      </x:c>
      <x:c r="F17" s="73" t="str">
        <x:v>NO EVIDENCE</x:v>
      </x:c>
      <x:c r="G17" s="73" t="str">
        <x:v>NO EVIDENCE</x:v>
      </x:c>
      <x:c r="H17" s="73" t="str">
        <x:v>Direct #MeToo critique</x:v>
      </x:c>
      <x:c r="I17" s="73" t="str">
        <x:v>Law review article</x:v>
      </x:c>
      <x:c r="J17" s="73" t="str">
        <x:v>Criminal due process cannot simply be copied into every informal setting, but employers, media, and movements should design context-specific procedures that preserve fairness and legitimacy.</x:v>
      </x:c>
      <x:c r="K17" s="73" t="str">
        <x:v>Rejects a one-size-fits-all process while leaving the two premises unstated.</x:v>
      </x:c>
      <x:c r="L17" s="73" t="str">
        <x:v>NO EVIDENCE</x:v>
      </x:c>
      <x:c r="M17" s="73" t="str">
        <x:v>NO EVIDENCE</x:v>
      </x:c>
      <x:c r="N17" s="74" t="str">
        <x:v>www.scholarship.richmond.edu/pilr/vol22/iss2/4/</x:v>
      </x:c>
    </x:row>
    <x:row r="18" ht="58" customHeight="1">
      <x:c r="A18" s="75" t="n">
        <x:v>34</x:v>
      </x:c>
      <x:c r="B18" s="76" t="n">
        <x:v>2020</x:v>
      </x:c>
      <x:c r="C18" s="76" t="str">
        <x:v>Aya Gruber</x:v>
      </x:c>
      <x:c r="D18" s="76" t="str">
        <x:v>#MeToo and Mass Incarceration</x:v>
      </x:c>
      <x:c r="E18" s="76" t="str">
        <x:v>PREMISES UNRESOLVED</x:v>
      </x:c>
      <x:c r="F18" s="76" t="str">
        <x:v>NO EVIDENCE</x:v>
      </x:c>
      <x:c r="G18" s="76" t="str">
        <x:v>NO EVIDENCE</x:v>
      </x:c>
      <x:c r="H18" s="76" t="str">
        <x:v>Direct #MeToo critique</x:v>
      </x:c>
      <x:c r="I18" s="76" t="str">
        <x:v>Law review article</x:v>
      </x:c>
      <x:c r="J18" s="76" t="str">
        <x:v>Feminist protection strategies have repeatedly expanded policing, prosecution, and prisons in racially and economically unequal ways, so gender justice must stop relying on violent penal institutions.</x:v>
      </x:c>
      <x:c r="K18" s="76" t="str">
        <x:v>Anti-carceral criticism is an internal strategic dispute and does not by itself reject either foundational premise.</x:v>
      </x:c>
      <x:c r="L18" s="76" t="str">
        <x:v>NO EVIDENCE</x:v>
      </x:c>
      <x:c r="M18" s="76" t="str">
        <x:v>NO EVIDENCE</x:v>
      </x:c>
      <x:c r="N18" s="77" t="str">
        <x:v>www.scholar.law.colorado.edu/faculty-articles/1291/</x:v>
      </x:c>
    </x:row>
    <x:row r="19" ht="58" customHeight="1">
      <x:c r="A19" s="72" t="n">
        <x:v>35</x:v>
      </x:c>
      <x:c r="B19" s="73" t="n">
        <x:v>2023</x:v>
      </x:c>
      <x:c r="C19" s="73" t="str">
        <x:v>Alejandra Castillo-Ara</x:v>
      </x:c>
      <x:c r="D19" s="73" t="str">
        <x:v>La regulación penal con perspectiva de género y los principios generales del derecho penal: una revisión crítica</x:v>
      </x:c>
      <x:c r="E19" s="73" t="str">
        <x:v>PREMISES UNRESOLVED</x:v>
      </x:c>
      <x:c r="F19" s="73" t="str">
        <x:v>NO EVIDENCE</x:v>
      </x:c>
      <x:c r="G19" s="73" t="str">
        <x:v>NO EVIDENCE</x:v>
      </x:c>
      <x:c r="H19" s="73" t="str">
        <x:v>Movement-adjacent</x:v>
      </x:c>
      <x:c r="I19" s="73" t="str">
        <x:v>Peer-reviewed journal article</x:v>
      </x:c>
      <x:c r="J19" s="73" t="str">
        <x:v>Gender-sensitive criminal reform can advance women’s rights, but reactive symbolic legislation must remain constrained by legality, culpability, proportionality, presumption of innocence, and due process.</x:v>
      </x:c>
      <x:c r="K19" s="73" t="str">
        <x:v>Critiques criminal-law implementation while accepting gender-sensitive reform in principle.</x:v>
      </x:c>
      <x:c r="L19" s="73" t="str">
        <x:v>NO EVIDENCE</x:v>
      </x:c>
      <x:c r="M19" s="73" t="str">
        <x:v>NO EVIDENCE</x:v>
      </x:c>
      <x:c r="N19" s="74" t="str">
        <x:v>www.scielo.cl/scielo.php?pid=S0718-09502023000200225&amp;script=sci_arttext</x:v>
      </x:c>
    </x:row>
    <x:row r="20" ht="58" customHeight="1">
      <x:c r="A20" s="75" t="n">
        <x:v>36</x:v>
      </x:c>
      <x:c r="B20" s="76" t="n">
        <x:v>2018</x:v>
      </x:c>
      <x:c r="C20" s="76" t="str">
        <x:v>Thomas Hylland Eriksen</x:v>
      </x:c>
      <x:c r="D20" s="76" t="str">
        <x:v>Without Impunity</x:v>
      </x:c>
      <x:c r="E20" s="76" t="str">
        <x:v>PREMISES UNRESOLVED</x:v>
      </x:c>
      <x:c r="F20" s="76" t="str">
        <x:v>NO EVIDENCE</x:v>
      </x:c>
      <x:c r="G20" s="76" t="str">
        <x:v>NO EVIDENCE</x:v>
      </x:c>
      <x:c r="H20" s="76" t="str">
        <x:v>Direct #MeToo critique</x:v>
      </x:c>
      <x:c r="I20" s="76" t="str">
        <x:v>Peer-reviewed journal article</x:v>
      </x:c>
      <x:c r="J20" s="76" t="str">
        <x:v>Public allegations can expose impunity, but unmediated accusation can harden into mob judgment, false accusation, decontextualization, and ruthless simplification.</x:v>
      </x:c>
      <x:c r="K20" s="76" t="str">
        <x:v>Provisional: the target article was paywalled and the classification relies partly on the HAU forum framing.</x:v>
      </x:c>
      <x:c r="L20" s="76" t="str">
        <x:v>NO EVIDENCE</x:v>
      </x:c>
      <x:c r="M20" s="76" t="str">
        <x:v>NO EVIDENCE</x:v>
      </x:c>
      <x:c r="N20" s="77" t="str">
        <x:v>www.journals.uchicago.edu/doi/full/10.1086/701008</x:v>
      </x:c>
    </x:row>
    <x:row r="21" ht="58" customHeight="1">
      <x:c r="A21" s="72" t="n">
        <x:v>37</x:v>
      </x:c>
      <x:c r="B21" s="73" t="n">
        <x:v>2021</x:v>
      </x:c>
      <x:c r="C21" s="73" t="str">
        <x:v>Michael T. French, Karoline Mortensen, and Andrew R. Timming</x:v>
      </x:c>
      <x:c r="D21" s="73" t="str">
        <x:v>A multivariate analysis of workplace mentoring and socializing in the wake of #MeToo</x:v>
      </x:c>
      <x:c r="E21" s="73" t="str">
        <x:v>PREMISES UNRESOLVED</x:v>
      </x:c>
      <x:c r="F21" s="73" t="str">
        <x:v>NO EVIDENCE</x:v>
      </x:c>
      <x:c r="G21" s="73" t="str">
        <x:v>NO EVIDENCE</x:v>
      </x:c>
      <x:c r="H21" s="73" t="str">
        <x:v>Empirical consequence study</x:v>
      </x:c>
      <x:c r="I21" s="73" t="str">
        <x:v>Peer-reviewed journal article</x:v>
      </x:c>
      <x:c r="J21" s="73" t="str">
        <x:v>#MeToo addressed real abuse, but fear of accusations can make male managers withdraw one-to-one mentorship from women, unintentionally restricting women’s career access.</x:v>
      </x:c>
      <x:c r="K21" s="73" t="str">
        <x:v>An observational workplace study; it tests consequences rather than the two premises.</x:v>
      </x:c>
      <x:c r="L21" s="73" t="str">
        <x:v>NO EVIDENCE</x:v>
      </x:c>
      <x:c r="M21" s="73" t="str">
        <x:v>NO EVIDENCE</x:v>
      </x:c>
      <x:c r="N21" s="74" t="str">
        <x:v>www.doi.org/10.1080/00036846.2021.1896673</x:v>
      </x:c>
    </x:row>
    <x:row r="22" ht="58" customHeight="1">
      <x:c r="A22" s="75" t="n">
        <x:v>38</x:v>
      </x:c>
      <x:c r="B22" s="76" t="n">
        <x:v>2022</x:v>
      </x:c>
      <x:c r="C22" s="76" t="str">
        <x:v>Ing-Haw Cheng and Alice Hsiaw</x:v>
      </x:c>
      <x:c r="D22" s="76" t="str">
        <x:v>Reporting Sexual Misconduct in the #MeToo Era</x:v>
      </x:c>
      <x:c r="E22" s="76" t="str">
        <x:v>PREMISES UNRESOLVED</x:v>
      </x:c>
      <x:c r="F22" s="76" t="str">
        <x:v>NO EVIDENCE</x:v>
      </x:c>
      <x:c r="G22" s="76" t="str">
        <x:v>NO EVIDENCE</x:v>
      </x:c>
      <x:c r="H22" s="76" t="str">
        <x:v>Empirical consequence study</x:v>
      </x:c>
      <x:c r="I22" s="76" t="str">
        <x:v>Peer-reviewed journal article</x:v>
      </x:c>
      <x:c r="J22" s="76" t="str">
        <x:v>Reporting is a coordination problem, so sanctions and confidential aggregation can expose serial misconduct, but badly designed rules can discourage both reports and mentoring.</x:v>
      </x:c>
      <x:c r="K22" s="76" t="str">
        <x:v>A formal institutional model rather than a direct empirical estimate or premise critique.</x:v>
      </x:c>
      <x:c r="L22" s="76" t="str">
        <x:v>NO EVIDENCE</x:v>
      </x:c>
      <x:c r="M22" s="76" t="str">
        <x:v>NO EVIDENCE</x:v>
      </x:c>
      <x:c r="N22" s="77" t="str">
        <x:v>www.aeaweb.org/articles?id=10.1257/mic.20200218</x:v>
      </x:c>
    </x:row>
    <x:row r="23" ht="58" customHeight="1">
      <x:c r="A23" s="72" t="n">
        <x:v>39</x:v>
      </x:c>
      <x:c r="B23" s="73" t="n">
        <x:v>2022</x:v>
      </x:c>
      <x:c r="C23" s="73" t="str">
        <x:v>Michael K. Bednar, James D. Westphal, and Michael L. McDonald</x:v>
      </x:c>
      <x:c r="D23" s="73" t="str">
        <x:v>Birds of a feather flock (even more) together</x:v>
      </x:c>
      <x:c r="E23" s="73" t="str">
        <x:v>PREMISES UNRESOLVED</x:v>
      </x:c>
      <x:c r="F23" s="73" t="str">
        <x:v>NO EVIDENCE</x:v>
      </x:c>
      <x:c r="G23" s="73" t="str">
        <x:v>NO EVIDENCE</x:v>
      </x:c>
      <x:c r="H23" s="73" t="str">
        <x:v>Empirical consequence study</x:v>
      </x:c>
      <x:c r="I23" s="73" t="str">
        <x:v>Peer-reviewed journal article</x:v>
      </x:c>
      <x:c r="J23" s="73" t="str">
        <x:v>#MeToo’s necessary exposure of abuse can increase directors’ anxiety and make them favor familiar, demographically similar board candidates, unintentionally reinforcing elite homophily.</x:v>
      </x:c>
      <x:c r="K23" s="73" t="str">
        <x:v>A corporate-board spillover study, not a general verdict on #MeToo.</x:v>
      </x:c>
      <x:c r="L23" s="73" t="str">
        <x:v>NO EVIDENCE</x:v>
      </x:c>
      <x:c r="M23" s="73" t="str">
        <x:v>NO EVIDENCE</x:v>
      </x:c>
      <x:c r="N23" s="74" t="str">
        <x:v>www.onlinelibrary.wiley.com/doi/10.1002/smj.3405</x:v>
      </x:c>
    </x:row>
    <x:row r="24" ht="58" customHeight="1">
      <x:c r="A24" s="75" t="n">
        <x:v>40</x:v>
      </x:c>
      <x:c r="B24" s="76" t="n">
        <x:v>2023</x:v>
      </x:c>
      <x:c r="C24" s="76" t="str">
        <x:v>Emily Etgen, Tom Downen, and Lorraine Lee</x:v>
      </x:c>
      <x:c r="D24" s="76" t="str">
        <x:v>Accounting Profession Mentoring in the #MeToo Era</x:v>
      </x:c>
      <x:c r="E24" s="76" t="str">
        <x:v>PREMISES UNRESOLVED</x:v>
      </x:c>
      <x:c r="F24" s="76" t="str">
        <x:v>NO EVIDENCE</x:v>
      </x:c>
      <x:c r="G24" s="76" t="str">
        <x:v>NO EVIDENCE</x:v>
      </x:c>
      <x:c r="H24" s="76" t="str">
        <x:v>Empirical consequence study</x:v>
      </x:c>
      <x:c r="I24" s="76" t="str">
        <x:v>Peer-reviewed journal article</x:v>
      </x:c>
      <x:c r="J24" s="76" t="str">
        <x:v>Accountants did not broadly refuse cross-gender mentoring, although male-mentor/female-mentee pairs avoided riskier settings, supporting structured mentoring rather than panic.</x:v>
      </x:c>
      <x:c r="K24" s="76" t="str">
        <x:v>Sector-specific counterevidence that qualifies rather than erases backlash-risk claims.</x:v>
      </x:c>
      <x:c r="L24" s="76" t="str">
        <x:v>NO EVIDENCE</x:v>
      </x:c>
      <x:c r="M24" s="76" t="str">
        <x:v>NO EVIDENCE</x:v>
      </x:c>
      <x:c r="N24" s="77" t="str">
        <x:v>www.doi.org/10.2308/HORIZONS-2020-180</x:v>
      </x:c>
    </x:row>
    <x:row r="25" ht="58" customHeight="1">
      <x:c r="A25" s="72" t="n">
        <x:v>41</x:v>
      </x:c>
      <x:c r="B25" s="73" t="n">
        <x:v>2024</x:v>
      </x:c>
      <x:c r="C25" s="73" t="str">
        <x:v>Chloe Grace Hart and Heather McLaughlin</x:v>
      </x:c>
      <x:c r="D25" s="73" t="str">
        <x:v>Sexual Harassment and Hierarchical Workplace Relationships after #MeToo: Consequences for Women Subordinates</x:v>
      </x:c>
      <x:c r="E25" s="73" t="str">
        <x:v>PREMISES UNRESOLVED</x:v>
      </x:c>
      <x:c r="F25" s="73" t="str">
        <x:v>NO EVIDENCE</x:v>
      </x:c>
      <x:c r="G25" s="73" t="str">
        <x:v>NO EVIDENCE</x:v>
      </x:c>
      <x:c r="H25" s="73" t="str">
        <x:v>Empirical consequence study</x:v>
      </x:c>
      <x:c r="I25" s="73" t="str">
        <x:v>Peer-reviewed journal article</x:v>
      </x:c>
      <x:c r="J25" s="73" t="str">
        <x:v>Women who report harassment can be viewed as both courageous truth-tellers and difficult attention-seekers, while measured hiring, promotion, and pay penalties were mostly small or absent.</x:v>
      </x:c>
      <x:c r="K25" s="73" t="str">
        <x:v>Findings are mixed and should not be compressed into either proof of backlash or proof of no backlash.</x:v>
      </x:c>
      <x:c r="L25" s="73" t="str">
        <x:v>NO EVIDENCE</x:v>
      </x:c>
      <x:c r="M25" s="73" t="str">
        <x:v>NO EVIDENCE</x:v>
      </x:c>
      <x:c r="N25" s="74" t="str">
        <x:v>www.journals.sagepub.com/doi/10.1177/23780231241290545</x:v>
      </x:c>
    </x:row>
    <x:row r="26" ht="58" customHeight="1">
      <x:c r="A26" s="75" t="n">
        <x:v>42</x:v>
      </x:c>
      <x:c r="B26" s="76" t="n">
        <x:v>2024</x:v>
      </x:c>
      <x:c r="C26" s="76" t="str">
        <x:v>Karl V. Lins, Lukas Roth, Henri Servaes, and Ane Tamayo</x:v>
      </x:c>
      <x:c r="D26" s="76" t="str">
        <x:v>Sexism, Culture, and Firm Value</x:v>
      </x:c>
      <x:c r="E26" s="76" t="str">
        <x:v>PREMISES UNRESOLVED</x:v>
      </x:c>
      <x:c r="F26" s="76" t="str">
        <x:v>NO EVIDENCE</x:v>
      </x:c>
      <x:c r="G26" s="76" t="str">
        <x:v>NO EVIDENCE</x:v>
      </x:c>
      <x:c r="H26" s="76" t="str">
        <x:v>Empirical consequence study</x:v>
      </x:c>
      <x:c r="I26" s="76" t="str">
        <x:v>Peer-reviewed journal article</x:v>
      </x:c>
      <x:c r="J26" s="76" t="str">
        <x:v>The Weinstein/#MeToo shock caused markets to reward firms with women in senior leadership and encouraged lagging firms to improve gender representation.</x:v>
      </x:c>
      <x:c r="K26" s="76" t="str">
        <x:v>Counterevidence on firm value and representation, not a comprehensive measure of workplace justice.</x:v>
      </x:c>
      <x:c r="L26" s="76" t="str">
        <x:v>NO EVIDENCE</x:v>
      </x:c>
      <x:c r="M26" s="76" t="str">
        <x:v>NO EVIDENCE</x:v>
      </x:c>
      <x:c r="N26" s="77" t="str">
        <x:v>www.onlinelibrary.wiley.com/doi/10.1111/1475-679X.12573</x:v>
      </x:c>
    </x:row>
    <x:row r="27" ht="58" customHeight="1">
      <x:c r="A27" s="72" t="n">
        <x:v>43</x:v>
      </x:c>
      <x:c r="B27" s="73" t="n">
        <x:v>2026</x:v>
      </x:c>
      <x:c r="C27" s="73" t="str">
        <x:v>Cyprien Batut, Caroline Coly, and Sarah Schneider-Strawczynski</x:v>
      </x:c>
      <x:c r="D27" s="73" t="str">
        <x:v>It’s a Man’s World: Culture of Abuse, #MeToo and Worker Flows</x:v>
      </x:c>
      <x:c r="E27" s="73" t="str">
        <x:v>PREMISES UNRESOLVED</x:v>
      </x:c>
      <x:c r="F27" s="73" t="str">
        <x:v>NO EVIDENCE</x:v>
      </x:c>
      <x:c r="G27" s="73" t="str">
        <x:v>NO EVIDENCE</x:v>
      </x:c>
      <x:c r="H27" s="73" t="str">
        <x:v>Empirical consequence study</x:v>
      </x:c>
      <x:c r="I27" s="73" t="str">
        <x:v>Working paper / preprint</x:v>
      </x:c>
      <x:c r="J27" s="73" t="str">
        <x:v>#MeToo helped workers identify toxic employers and move toward safer workplaces, though quitting means immediate reform costs can still fall on workers.</x:v>
      </x:c>
      <x:c r="K27" s="73" t="str">
        <x:v>A working paper with mixed effects; later peer review or revisions may alter the estimates.</x:v>
      </x:c>
      <x:c r="L27" s="73" t="str">
        <x:v>NO EVIDENCE</x:v>
      </x:c>
      <x:c r="M27" s="73" t="str">
        <x:v>NO EVIDENCE</x:v>
      </x:c>
      <x:c r="N27" s="74" t="str">
        <x:v>www.ifo.de/en/cesifo/publications/2026/working-paper/its-mans-world-culture-abuse-metoo-and-worker-flows</x:v>
      </x:c>
    </x:row>
    <x:row r="28" ht="58" customHeight="1">
      <x:c r="A28" s="75" t="n">
        <x:v>44</x:v>
      </x:c>
      <x:c r="B28" s="76" t="n">
        <x:v>2019</x:v>
      </x:c>
      <x:c r="C28" s="76" t="str">
        <x:v>Leanne E. Atwater, Allison M. Tringale, Rachel E. Sturm, Scott N. Taylor, and Phillip W. Braddy</x:v>
      </x:c>
      <x:c r="D28" s="76" t="str">
        <x:v>Looking Ahead: How What We Know About Sexual Harassment Now Informs Us of the Future</x:v>
      </x:c>
      <x:c r="E28" s="76" t="str">
        <x:v>PREMISES UNRESOLVED</x:v>
      </x:c>
      <x:c r="F28" s="76" t="str">
        <x:v>NO EVIDENCE</x:v>
      </x:c>
      <x:c r="G28" s="76" t="str">
        <x:v>NO EVIDENCE</x:v>
      </x:c>
      <x:c r="H28" s="76" t="str">
        <x:v>Empirical consequence study</x:v>
      </x:c>
      <x:c r="I28" s="76" t="str">
        <x:v>Peer-reviewed journal article</x:v>
      </x:c>
      <x:c r="J28" s="76" t="str">
        <x:v>Employers should prevent harassment seriously while stopping fear-based hiring and mentoring avoidance from turning protection against abuse into another barrier for women.</x:v>
      </x:c>
      <x:c r="K28" s="76" t="str">
        <x:v>A managerial synthesis and recommendation piece, not a direct foundational critique.</x:v>
      </x:c>
      <x:c r="L28" s="76" t="str">
        <x:v>NO EVIDENCE</x:v>
      </x:c>
      <x:c r="M28" s="76" t="str">
        <x:v>NO EVIDENCE</x:v>
      </x:c>
      <x:c r="N28" s="77" t="str">
        <x:v>www.doi.org/10.1016/j.orgdyn.2018.08.008</x:v>
      </x:c>
    </x:row>
    <x:row r="29" ht="58" customHeight="1">
      <x:c r="A29" s="72" t="n">
        <x:v>45</x:v>
      </x:c>
      <x:c r="B29" s="73" t="n">
        <x:v>2019</x:v>
      </x:c>
      <x:c r="C29" s="73" t="str">
        <x:v>Michael T. Zugelder</x:v>
      </x:c>
      <x:c r="D29" s="73" t="str">
        <x:v>The Consequences of #MeToo: Intended and Not. What Employers Should Do</x:v>
      </x:c>
      <x:c r="E29" s="73" t="str">
        <x:v>PREMISES UNRESOLVED</x:v>
      </x:c>
      <x:c r="F29" s="73" t="str">
        <x:v>NO EVIDENCE</x:v>
      </x:c>
      <x:c r="G29" s="73" t="str">
        <x:v>NO EVIDENCE</x:v>
      </x:c>
      <x:c r="H29" s="73" t="str">
        <x:v>Empirical consequence study</x:v>
      </x:c>
      <x:c r="I29" s="73" t="str">
        <x:v>Peer-reviewed journal article</x:v>
      </x:c>
      <x:c r="J29" s="73" t="str">
        <x:v>Employers should preserve #MeToo’s gains against abuse while preventing skepticism and mentoring avoidance from creating a new career penalty for women.</x:v>
      </x:c>
      <x:c r="K29" s="73" t="str">
        <x:v>A practitioner-oriented article rather than a causal study of every claimed consequence.</x:v>
      </x:c>
      <x:c r="L29" s="73" t="str">
        <x:v>NO EVIDENCE</x:v>
      </x:c>
      <x:c r="M29" s="73" t="str">
        <x:v>NO EVIDENCE</x:v>
      </x:c>
      <x:c r="N29" s="74" t="str">
        <x:v>www.articlegateway.com/index.php/JLAE/article/view/2159</x:v>
      </x:c>
    </x:row>
    <x:row r="30" ht="58" customHeight="1">
      <x:c r="A30" s="75" t="n">
        <x:v>46</x:v>
      </x:c>
      <x:c r="B30" s="76" t="n">
        <x:v>2019</x:v>
      </x:c>
      <x:c r="C30" s="76" t="str">
        <x:v>Anjalie Field, Gayatri Bhat, and Yulia Tsvetkov</x:v>
      </x:c>
      <x:c r="D30" s="76" t="str">
        <x:v>Contextual Affective Analysis: A Case Study of People Portrayals in Online #MeToo Stories</x:v>
      </x:c>
      <x:c r="E30" s="76" t="str">
        <x:v>PREMISES UNRESOLVED</x:v>
      </x:c>
      <x:c r="F30" s="76" t="str">
        <x:v>NO EVIDENCE</x:v>
      </x:c>
      <x:c r="G30" s="76" t="str">
        <x:v>NO EVIDENCE</x:v>
      </x:c>
      <x:c r="H30" s="76" t="str">
        <x:v>Empirical consequence study</x:v>
      </x:c>
      <x:c r="I30" s="76" t="str">
        <x:v>Conference paper</x:v>
      </x:c>
      <x:c r="J30" s="76" t="str">
        <x:v>Even sympathetic #MeToo stories can portray men as decisive actors and women mainly as people acted upon, reproducing the agency imbalance they seek to challenge.</x:v>
      </x:c>
      <x:c r="K30" s="76" t="str">
        <x:v>A media-portrayal finding; the arXiv version is the same paper and is not a second source.</x:v>
      </x:c>
      <x:c r="L30" s="76" t="str">
        <x:v>NO EVIDENCE</x:v>
      </x:c>
      <x:c r="M30" s="76" t="str">
        <x:v>NO EVIDENCE</x:v>
      </x:c>
      <x:c r="N30" s="77" t="str">
        <x:v>www.ojs.aaai.org/index.php/ICWSM/article/view/3358</x:v>
      </x:c>
    </x:row>
    <x:row r="31" ht="58" customHeight="1">
      <x:c r="A31" s="72" t="n">
        <x:v>52</x:v>
      </x:c>
      <x:c r="B31" s="73" t="n">
        <x:v>2018</x:v>
      </x:c>
      <x:c r="C31" s="73" t="str">
        <x:v>Laura Kipnis</x:v>
      </x:c>
      <x:c r="D31" s="73" t="str">
        <x:v>Has #MeToo gone too far, or not far enough? The answer is both</x:v>
      </x:c>
      <x:c r="E31" s="73" t="str">
        <x:v>PREMISES UNRESOLVED</x:v>
      </x:c>
      <x:c r="F31" s="73" t="str">
        <x:v>NO EVIDENCE</x:v>
      </x:c>
      <x:c r="G31" s="73" t="str">
        <x:v>NO EVIDENCE</x:v>
      </x:c>
      <x:c r="H31" s="73" t="str">
        <x:v>Public intervention</x:v>
      </x:c>
      <x:c r="I31" s="73" t="str">
        <x:v>Newspaper / opinion</x:v>
      </x:c>
      <x:c r="J31" s="73" t="str">
        <x:v>#MeToo is necessary for bodily autonomy, but it overreaches when rape, coercion, jokes, clumsy advances, and gray-zone desire are collapsed into one accusation-and-punishment category.</x:v>
      </x:c>
      <x:c r="K31" s="73" t="str">
        <x:v>A mixed opinion essay whose premise position cannot be inferred solely from its criticism of overreach.</x:v>
      </x:c>
      <x:c r="L31" s="73" t="str">
        <x:v>NO EVIDENCE</x:v>
      </x:c>
      <x:c r="M31" s="73" t="str">
        <x:v>NO EVIDENCE</x:v>
      </x:c>
      <x:c r="N31" s="74" t="str">
        <x:v>www.theguardian.com/commentisfree/2018/jan/13/has-me-too-catherine-deneuve-laura-kipnis</x:v>
      </x:c>
    </x:row>
    <x:row r="32" ht="58" customHeight="1">
      <x:c r="A32" s="75" t="n">
        <x:v>127</x:v>
      </x:c>
      <x:c r="B32" s="76" t="n">
        <x:v>2020</x:v>
      </x:c>
      <x:c r="C32" s="76" t="str">
        <x:v>Jayne S. Ressler</x:v>
      </x:c>
      <x:c r="D32" s="76" t="str">
        <x:v>Anonymous Plaintiffs and Sexual Misconduct</x:v>
      </x:c>
      <x:c r="E32" s="76" t="str">
        <x:v>PREMISES UNRESOLVED</x:v>
      </x:c>
      <x:c r="F32" s="76" t="str">
        <x:v>RETAINS WITH QUALIFICATION</x:v>
      </x:c>
      <x:c r="G32" s="76" t="str">
        <x:v>NO EVIDENCE</x:v>
      </x:c>
      <x:c r="H32" s="76" t="str">
        <x:v>Direct #MeToo defense / internal reply</x:v>
      </x:c>
      <x:c r="I32" s="76" t="str">
        <x:v>Law review article</x:v>
      </x:c>
      <x:c r="J32" s="76" t="str">
        <x:v>People should not have to permanently expose their identities in order to seek public legal redress for sexual misconduct.</x:v>
      </x:c>
      <x:c r="K32" s="76" t="str">
        <x:v>Accommodates #MeToo-era claims rather than criticizing them; no evidence establishes rejection of either foundational premise.</x:v>
      </x:c>
      <x:c r="L32" s="76" t="str">
        <x:v>DIRECT ENTAILMENT</x:v>
      </x:c>
      <x:c r="M32" s="76" t="str">
        <x:v>NO EVIDENCE</x:v>
      </x:c>
      <x:c r="N32" s="77" t="str">
        <x:v>https://scholarship.shu.edu/shlr/vol50/iss4/2/</x:v>
      </x:c>
    </x:row>
    <x:row r="33" ht="58" customHeight="1">
      <x:c r="A33" s="72" t="n">
        <x:v>128</x:v>
      </x:c>
      <x:c r="B33" s="73" t="n">
        <x:v>2021</x:v>
      </x:c>
      <x:c r="C33" s="73" t="str">
        <x:v>Pablo Contreras Vásquez and Domingo Lovera Parmo</x:v>
      </x:c>
      <x:c r="D33" s="73" t="str">
        <x:v>Redes sociales, funas, honor y libertad de expresión: análisis crítico de los estándares de la jurisprudencia de la Corte Suprema chilena</x:v>
      </x:c>
      <x:c r="E33" s="73" t="str">
        <x:v>PREMISES UNRESOLVED</x:v>
      </x:c>
      <x:c r="F33" s="73" t="str">
        <x:v>RETAINS WITH QUALIFICATION</x:v>
      </x:c>
      <x:c r="G33" s="73" t="str">
        <x:v>NO EVIDENCE</x:v>
      </x:c>
      <x:c r="H33" s="73" t="str">
        <x:v>Movement-adjacent</x:v>
      </x:c>
      <x:c r="I33" s="73" t="str">
        <x:v>Peer-reviewed journal article</x:v>
      </x:c>
      <x:c r="J33" s="73" t="str">
        <x:v>The law must protect people from doxing without using honor claims as an overbroad shortcut to suppress online accusations.</x:v>
      </x:c>
      <x:c r="K33" s="73" t="str">
        <x:v>Not #MeToo-specific and does not reject either foundational premise; retained to prevent false-positive use.</x:v>
      </x:c>
      <x:c r="L33" s="73" t="str">
        <x:v>ABSTRACT ONLY</x:v>
      </x:c>
      <x:c r="M33" s="73" t="str">
        <x:v>NO EVIDENCE</x:v>
      </x:c>
      <x:c r="N33" s="74" t="str">
        <x:v>https://revistas.pucp.edu.pe/index.php/derechopucp/article/view/23674</x:v>
      </x:c>
    </x:row>
    <x:row r="34" ht="58" customHeight="1">
      <x:c r="A34" s="75" t="n">
        <x:v>135</x:v>
      </x:c>
      <x:c r="B34" s="76" t="n">
        <x:v>2025</x:v>
      </x:c>
      <x:c r="C34" s="76" t="str">
        <x:v>Marcela Iacub</x:v>
      </x:c>
      <x:c r="D34" s="76" t="str">
        <x:v>La révolution #MeToo : genre, droit et politique</x:v>
      </x:c>
      <x:c r="E34" s="76" t="str">
        <x:v>PREMISES UNRESOLVED</x:v>
      </x:c>
      <x:c r="F34" s="76" t="str">
        <x:v>NO EVIDENCE</x:v>
      </x:c>
      <x:c r="G34" s="76" t="str">
        <x:v>NO EVIDENCE</x:v>
      </x:c>
      <x:c r="H34" s="76" t="str">
        <x:v>Direct #MeToo critique</x:v>
      </x:c>
      <x:c r="I34" s="76" t="str">
        <x:v>Peer-reviewed journal article</x:v>
      </x:c>
      <x:c r="J34" s="76" t="str">
        <x:v>#MeToo builds policy on a mistaken causal story that treats sex inequality as the product of male sexual violence; law and politics need alternatives based on a different account of inequality.</x:v>
      </x:c>
      <x:c r="K34" s="76" t="str">
        <x:v>The accessible abstract proves a foundational movement critique but does not yet prove rejection or retention of either the personal-is-political or standpoint premise.</x:v>
      </x:c>
      <x:c r="L34" s="76" t="str">
        <x:v>NO EVIDENCE</x:v>
      </x:c>
      <x:c r="M34" s="76" t="str">
        <x:v>NO EVIDENCE</x:v>
      </x:c>
      <x:c r="N34" s="77" t="str">
        <x:v>https://www.researchgate.net/publication/389816363_La_revolution_MeToo_genre_droit_et_politique</x:v>
      </x:c>
    </x:row>
    <x:row r="35" ht="58" customHeight="1">
      <x:c r="A35" s="72" t="n">
        <x:v>139</x:v>
      </x:c>
      <x:c r="B35" s="73" t="n">
        <x:v>2024</x:v>
      </x:c>
      <x:c r="C35" s="73" t="str">
        <x:v>Sarah Cefai</x:v>
      </x:c>
      <x:c r="D35" s="73" t="str">
        <x:v>Consent-deception: a feminist cultural media theory of commonsense consent</x:v>
      </x:c>
      <x:c r="E35" s="73" t="str">
        <x:v>PREMISES UNRESOLVED</x:v>
      </x:c>
      <x:c r="F35" s="73" t="str">
        <x:v>RETAINS</x:v>
      </x:c>
      <x:c r="G35" s="73" t="str">
        <x:v>NO EVIDENCE</x:v>
      </x:c>
      <x:c r="H35" s="73" t="str">
        <x:v>Movement-adjacent</x:v>
      </x:c>
      <x:c r="I35" s="73" t="str">
        <x:v>Peer-reviewed journal article</x:v>
      </x:c>
      <x:c r="J35" s="73" t="str">
        <x:v>Professionalized consent systems and testimonial media can teach people to read sex through suspicion, inflate harassment, and mistake social-media traces for transparent evidence.</x:v>
      </x:c>
      <x:c r="K35" s="73" t="str">
        <x:v>A theoretical consent and media critique; accessible evidence shows retention of feminist politicization but does not establish a position on standpoint authority.</x:v>
      </x:c>
      <x:c r="L35" s="73" t="str">
        <x:v>ABSTRACT ONLY</x:v>
      </x:c>
      <x:c r="M35" s="73" t="str">
        <x:v>NO EVIDENCE</x:v>
      </x:c>
      <x:c r="N35" s="74" t="str">
        <x:v>https://journals.sagepub.com/doi/10.1177/14647001231206026</x:v>
      </x:c>
    </x:row>
    <x:row r="36" ht="58" customHeight="1">
      <x:c r="A36" s="75" t="n">
        <x:v>140</x:v>
      </x:c>
      <x:c r="B36" s="76" t="n">
        <x:v>2022</x:v>
      </x:c>
      <x:c r="C36" s="76" t="str">
        <x:v>Natalie Roxburgh</x:v>
      </x:c>
      <x:c r="D36" s="76" t="str">
        <x:v>The collapse of dialogue, consent, and the controversy over Kristen Roupenian's “Cat Person”</x:v>
      </x:c>
      <x:c r="E36" s="76" t="str">
        <x:v>PREMISES UNRESOLVED</x:v>
      </x:c>
      <x:c r="F36" s="76" t="str">
        <x:v>NO EVIDENCE</x:v>
      </x:c>
      <x:c r="G36" s="76" t="str">
        <x:v>NO EVIDENCE</x:v>
      </x:c>
      <x:c r="H36" s="76" t="str">
        <x:v>Movement-adjacent</x:v>
      </x:c>
      <x:c r="I36" s="76" t="str">
        <x:v>Peer-reviewed journal article</x:v>
      </x:c>
      <x:c r="J36" s="76" t="str">
        <x:v>The #MeToo-era consent debate fails because structural-domination feminism and sex-positive agency feminism talk past one another, while platform media rewards polarization instead of dialogue.</x:v>
      </x:c>
      <x:c r="K36" s="76" t="str">
        <x:v>A Bakhtinian literary analysis of Cat Person reception; the abstract identifies the opposed discourses but does not commit the author to either foundational premise.</x:v>
      </x:c>
      <x:c r="L36" s="76" t="str">
        <x:v>NO EVIDENCE</x:v>
      </x:c>
      <x:c r="M36" s="76" t="str">
        <x:v>NO EVIDENCE</x:v>
      </x:c>
      <x:c r="N36" s="77" t="str">
        <x:v>https://benjamins.com/catalog/ld.00111.rox</x:v>
      </x:c>
    </x:row>
    <x:row r="37" ht="58" customHeight="1">
      <x:c r="A37" s="72" t="n">
        <x:v>141</x:v>
      </x:c>
      <x:c r="B37" s="73" t="n">
        <x:v>2021</x:v>
      </x:c>
      <x:c r="C37" s="73" t="str">
        <x:v>Cristina Oñoro Otero</x:v>
      </x:c>
      <x:c r="D37" s="73" t="str">
        <x:v>Puritanismo, mirada masculina y espectadoras: The Scarlet Letter (2018), de Angélica Liddell</x:v>
      </x:c>
      <x:c r="E37" s="73" t="str">
        <x:v>PREMISES UNRESOLVED</x:v>
      </x:c>
      <x:c r="F37" s="73" t="str">
        <x:v>NO EVIDENCE</x:v>
      </x:c>
      <x:c r="G37" s="73" t="str">
        <x:v>NO EVIDENCE</x:v>
      </x:c>
      <x:c r="H37" s="73" t="str">
        <x:v>Reception only</x:v>
      </x:c>
      <x:c r="I37" s="73" t="str">
        <x:v>Peer-reviewed journal article</x:v>
      </x:c>
      <x:c r="J37" s="73" t="str">
        <x:v>An anti-#MeToo artwork can be misogynistic in what it says yet feminist in how it breaks the male gaze, forcing spectators to hold sexual freedom and feminist critique together.</x:v>
      </x:c>
      <x:c r="K37" s="73" t="str">
        <x:v>The author analyzes Liddell's critique and a feminist spectator's paradoxical response without clearly adopting the play's anti-#MeToo premise claims.</x:v>
      </x:c>
      <x:c r="L37" s="73" t="str">
        <x:v>NO EVIDENCE</x:v>
      </x:c>
      <x:c r="M37" s="73" t="str">
        <x:v>NO EVIDENCE</x:v>
      </x:c>
      <x:c r="N37" s="74" t="str">
        <x:v>https://papiro.unizar.es/ojs/index.php/tropelias/es/article/view/5116</x:v>
      </x:c>
    </x:row>
    <x:row r="38" ht="58" customHeight="1">
      <x:c r="A38" s="75" t="n">
        <x:v>143</x:v>
      </x:c>
      <x:c r="B38" s="76" t="n">
        <x:v>2018</x:v>
      </x:c>
      <x:c r="C38" s="76" t="str">
        <x:v>Brackette F. Williams and Drexel G. Woodson</x:v>
      </x:c>
      <x:c r="D38" s="76" t="str">
        <x:v>Slinging hash: Can activists and scholars play “rough music” on a one-string violin?</x:v>
      </x:c>
      <x:c r="E38" s="76" t="str">
        <x:v>PREMISES UNRESOLVED</x:v>
      </x:c>
      <x:c r="F38" s="76" t="str">
        <x:v>RETAINS</x:v>
      </x:c>
      <x:c r="G38" s="76" t="str">
        <x:v>NO EVIDENCE</x:v>
      </x:c>
      <x:c r="H38" s="76" t="str">
        <x:v>Direct #MeToo defense / internal reply</x:v>
      </x:c>
      <x:c r="I38" s="76" t="str">
        <x:v>Academic forum / editorial</x:v>
      </x:c>
      <x:c r="J38" s="76" t="str">
        <x:v>A righteous hashtag can still essentialize enemies and divert energy from durable movements; #MeToo must connect indignation to institutions and older justice struggles.</x:v>
      </x:c>
      <x:c r="K38" s="76" t="str">
        <x:v>The target comment was paywalled and its available editor's précis proves retention of collective politics but does not establish a standpoint position.</x:v>
      </x:c>
      <x:c r="L38" s="76" t="str">
        <x:v>SECONDARY REPORT</x:v>
      </x:c>
      <x:c r="M38" s="76" t="str">
        <x:v>NO EVIDENCE</x:v>
      </x:c>
      <x:c r="N38" s="77" t="str">
        <x:v>https://doi.org/10.1086/701006</x:v>
      </x:c>
    </x:row>
    <x:row r="39" ht="58" customHeight="1">
      <x:c r="A39" s="72" t="n">
        <x:v>144</x:v>
      </x:c>
      <x:c r="B39" s="73" t="n">
        <x:v>2024</x:v>
      </x:c>
      <x:c r="C39" s="73" t="str">
        <x:v>Pauline Le Monnier de Gouville</x:v>
      </x:c>
      <x:c r="D39" s="73" t="str">
        <x:v>Libération de la parole et justice pénale</x:v>
      </x:c>
      <x:c r="E39" s="73" t="str">
        <x:v>PREMISES UNRESOLVED</x:v>
      </x:c>
      <x:c r="F39" s="73" t="str">
        <x:v>NO EVIDENCE</x:v>
      </x:c>
      <x:c r="G39" s="73" t="str">
        <x:v>NO EVIDENCE</x:v>
      </x:c>
      <x:c r="H39" s="73" t="str">
        <x:v>Direct #MeToo critique</x:v>
      </x:c>
      <x:c r="I39" s="73" t="str">
        <x:v>Law review article</x:v>
      </x:c>
      <x:c r="J39" s="73" t="str">
        <x:v>Liberated speech and criminal justice answer different needs, so law must protect victims' ability to speak without allowing media accusation to decide legal guilt.</x:v>
      </x:c>
      <x:c r="K39" s="73" t="str">
        <x:v>Cairn exposed metadata and notes but not the article body; the thesis is a cautious synthesis of the article's documented problem field, not proof that the author endorses every cited warning.</x:v>
      </x:c>
      <x:c r="L39" s="73" t="str">
        <x:v>NO EVIDENCE</x:v>
      </x:c>
      <x:c r="M39" s="73" t="str">
        <x:v>NO EVIDENCE</x:v>
      </x:c>
      <x:c r="N39" s="74" t="str">
        <x:v>https://droit.cairn.info/revue-archives-de-politique-criminelle-2024-1-page-263?lang=fr</x:v>
      </x:c>
    </x:row>
    <x:row r="40" ht="58" customHeight="1">
      <x:c r="A40" s="75" t="n">
        <x:v>156</x:v>
      </x:c>
      <x:c r="B40" s="76" t="n">
        <x:v>2020</x:v>
      </x:c>
      <x:c r="C40" s="76" t="str">
        <x:v>Roseanna Sommers</x:v>
      </x:c>
      <x:c r="D40" s="76" t="str">
        <x:v>Commonsense Consent</x:v>
      </x:c>
      <x:c r="E40" s="76" t="str">
        <x:v>PREMISES UNRESOLVED</x:v>
      </x:c>
      <x:c r="F40" s="76" t="str">
        <x:v>NO EVIDENCE</x:v>
      </x:c>
      <x:c r="G40" s="76" t="str">
        <x:v>NO EVIDENCE</x:v>
      </x:c>
      <x:c r="H40" s="76" t="str">
        <x:v>Foundational antecedent</x:v>
      </x:c>
      <x:c r="I40" s="76" t="str">
        <x:v>Law review article</x:v>
      </x:c>
      <x:c r="J40" s="76" t="str">
        <x:v>Ordinary people often regard consent as compatible with deception across sex and many nonsexual domains, revealing a major gap between lived judgment and dominant philosophical consent theories.</x:v>
      </x:c>
      <x:c r="K40" s="76" t="str">
        <x:v>Empirical counterevidence about consent concepts; it does not itself take a position on either foundational premise.</x:v>
      </x:c>
      <x:c r="L40" s="76" t="str">
        <x:v>NO EVIDENCE</x:v>
      </x:c>
      <x:c r="M40" s="76" t="str">
        <x:v>NO EVIDENCE</x:v>
      </x:c>
      <x:c r="N40" s="77" t="str">
        <x:v>https://yalelawjournal.org/article/commonsense-consent</x:v>
      </x:c>
    </x:row>
    <x:row r="41" ht="58" customHeight="1">
      <x:c r="A41" s="72" t="n">
        <x:v>159</x:v>
      </x:c>
      <x:c r="B41" s="73" t="n">
        <x:v>1997</x:v>
      </x:c>
      <x:c r="C41" s="73" t="str">
        <x:v>Marianne Janack</x:v>
      </x:c>
      <x:c r="D41" s="73" t="str">
        <x:v>Standpoint Epistemology Without the ‘Standpoint’?: An Examination of Epistemic Privilege and Epistemic Authority</x:v>
      </x:c>
      <x:c r="E41" s="73" t="str">
        <x:v>PREMISES UNRESOLVED</x:v>
      </x:c>
      <x:c r="F41" s="73" t="str">
        <x:v>NO EVIDENCE</x:v>
      </x:c>
      <x:c r="G41" s="73" t="str">
        <x:v>RETAINS WITH QUALIFICATION</x:v>
      </x:c>
      <x:c r="H41" s="73" t="str">
        <x:v>Foundational antecedent</x:v>
      </x:c>
      <x:c r="I41" s="73" t="str">
        <x:v>Peer-reviewed journal article</x:v>
      </x:c>
      <x:c r="J41" s="73" t="str">
        <x:v>Automatic epistemic privilege is elusive, but feminist standpoint theory can preserve a distinct claim of epistemic authority.</x:v>
      </x:c>
      <x:c r="K41" s="73" t="str">
        <x:v>This is not an anti-standpoint source: it expressly treats epistemic authority as important to a successful standpoint project.</x:v>
      </x:c>
      <x:c r="L41" s="73" t="str">
        <x:v>NO EVIDENCE</x:v>
      </x:c>
      <x:c r="M41" s="73" t="str">
        <x:v>DIRECT EXPLICIT</x:v>
      </x:c>
      <x:c r="N41" s="74" t="str">
        <x:v>https://doi.org/10.1111/j.1527-2001.1997.tb00022.x</x:v>
      </x:c>
    </x:row>
    <x:row r="42" ht="58" customHeight="1">
      <x:c r="A42" s="75" t="n">
        <x:v>160</x:v>
      </x:c>
      <x:c r="B42" s="76" t="n">
        <x:v>2024</x:v>
      </x:c>
      <x:c r="C42" s="76" t="str">
        <x:v>Briana Toole</x:v>
      </x:c>
      <x:c r="D42" s="76" t="str">
        <x:v>Standpoint Epistemology and Epistemic Peerhood: A Defense of Epistemic Privilege</x:v>
      </x:c>
      <x:c r="E42" s="76" t="str">
        <x:v>PREMISES UNRESOLVED</x:v>
      </x:c>
      <x:c r="F42" s="76" t="str">
        <x:v>NO EVIDENCE</x:v>
      </x:c>
      <x:c r="G42" s="76" t="str">
        <x:v>RETAINS WITH QUALIFICATION</x:v>
      </x:c>
      <x:c r="H42" s="76" t="str">
        <x:v>Foundational antecedent</x:v>
      </x:c>
      <x:c r="I42" s="76" t="str">
        <x:v>Peer-reviewed journal article</x:v>
      </x:c>
      <x:c r="J42" s="76" t="str">
        <x:v>Marginalization does not automatically guarantee better knowledge, but it can generate epistemic advantages and trained standpoints analogous to expertise.</x:v>
      </x:c>
      <x:c r="K42" s="76" t="str">
        <x:v>A direct defense, not a critique; retained to prevent a scanner from labeling every qualification as rejection.</x:v>
      </x:c>
      <x:c r="L42" s="76" t="str">
        <x:v>NO EVIDENCE</x:v>
      </x:c>
      <x:c r="M42" s="76" t="str">
        <x:v>DIRECT EXPLICIT</x:v>
      </x:c>
      <x:c r="N42" s="77" t="str">
        <x:v>https://doi.org/10.1017/apa.2023.6</x:v>
      </x:c>
    </x:row>
    <x:row r="43" ht="58" customHeight="1">
      <x:c r="A43" s="72" t="n">
        <x:v>162</x:v>
      </x:c>
      <x:c r="B43" s="73" t="n">
        <x:v>2022</x:v>
      </x:c>
      <x:c r="C43" s="73" t="str">
        <x:v>Lily Kay Ross</x:v>
      </x:c>
      <x:c r="D43" s="73" t="str">
        <x:v>The Survivor Imperative</x:v>
      </x:c>
      <x:c r="E43" s="73" t="str">
        <x:v>PREMISES UNRESOLVED</x:v>
      </x:c>
      <x:c r="F43" s="73" t="str">
        <x:v>NO EVIDENCE</x:v>
      </x:c>
      <x:c r="G43" s="73" t="str">
        <x:v>NO EVIDENCE</x:v>
      </x:c>
      <x:c r="H43" s="73" t="str">
        <x:v>Direct #MeToo critique</x:v>
      </x:c>
      <x:c r="I43" s="73" t="str">
        <x:v>Peer-reviewed journal article</x:v>
      </x:c>
      <x:c r="J43" s="73" t="str">
        <x:v>A public script that requires harmed people to become recognizable survivors can overwrite their own meanings, politics, and ways of living after harm.</x:v>
      </x:c>
      <x:c r="K43" s="73" t="str">
        <x:v>Critiques compulsory victim identity while explicitly using experience and feminist structural analysis; the available evidence does not establish rejection of either root.</x:v>
      </x:c>
      <x:c r="L43" s="73" t="str">
        <x:v>NO EVIDENCE</x:v>
      </x:c>
      <x:c r="M43" s="73" t="str">
        <x:v>NO EVIDENCE</x:v>
      </x:c>
      <x:c r="N43" s="74" t="str">
        <x:v>https://doi.org/10.1086/720413</x:v>
      </x:c>
    </x:row>
    <x:row r="44" ht="58" customHeight="1">
      <x:c r="A44" s="75" t="n">
        <x:v>163</x:v>
      </x:c>
      <x:c r="B44" s="76" t="n">
        <x:v>2019</x:v>
      </x:c>
      <x:c r="C44" s="76" t="str">
        <x:v>Emma Frances Bloomfield</x:v>
      </x:c>
      <x:c r="D44" s="76" t="str">
        <x:v>Rhetorical Constellations and the Inventional/Intersectional Possibilities of #MeToo</x:v>
      </x:c>
      <x:c r="E44" s="76" t="str">
        <x:v>PREMISES UNRESOLVED</x:v>
      </x:c>
      <x:c r="F44" s="76" t="str">
        <x:v>NO EVIDENCE</x:v>
      </x:c>
      <x:c r="G44" s="76" t="str">
        <x:v>NO EVIDENCE</x:v>
      </x:c>
      <x:c r="H44" s="76" t="str">
        <x:v>Direct #MeToo critique</x:v>
      </x:c>
      <x:c r="I44" s="76" t="str">
        <x:v>Peer-reviewed journal article</x:v>
      </x:c>
      <x:c r="J44" s="76" t="str">
        <x:v>#MeToo loses explanatory power both when it reduces systemic abuse to a few villains and when abstract structure erases the concrete people and differences through which harm occurs.</x:v>
      </x:c>
      <x:c r="K44" s="76" t="str">
        <x:v>A rhetorical diagnosis of two failure modes; the available abstract does not establish rejection of either premise.</x:v>
      </x:c>
      <x:c r="L44" s="76" t="str">
        <x:v>NO EVIDENCE</x:v>
      </x:c>
      <x:c r="M44" s="76" t="str">
        <x:v>NO EVIDENCE</x:v>
      </x:c>
      <x:c r="N44" s="77" t="str">
        <x:v>https://oasis.library.unlv.edu/comm_fac_articles/41/</x:v>
      </x:c>
    </x:row>
    <x:row r="45" ht="58" customHeight="1">
      <x:c r="A45" s="104" t="n">
        <x:v>164</x:v>
      </x:c>
      <x:c r="B45" s="105" t="n">
        <x:v>2021</x:v>
      </x:c>
      <x:c r="C45" s="105" t="str">
        <x:v>Sirma Sikka</x:v>
      </x:c>
      <x:c r="D45" s="105" t="str">
        <x:v>What to do about #MeToo? Consent, autonomy, and restorative justice</x:v>
      </x:c>
      <x:c r="E45" s="105" t="str">
        <x:v>PREMISES UNRESOLVED</x:v>
      </x:c>
      <x:c r="F45" s="105" t="str">
        <x:v>NO EVIDENCE</x:v>
      </x:c>
      <x:c r="G45" s="105" t="str">
        <x:v>NO EVIDENCE</x:v>
      </x:c>
      <x:c r="H45" s="105" t="str">
        <x:v>Direct #MeToo critique</x:v>
      </x:c>
      <x:c r="I45" s="105" t="str">
        <x:v>Peer-reviewed journal article</x:v>
      </x:c>
      <x:c r="J45" s="105" t="str">
        <x:v>#MeToo needs a sex-positive and restorative account of consent that protects autonomy without defaulting to punishment or carceral institutions.</x:v>
      </x:c>
      <x:c r="K45" s="105" t="str">
        <x:v>Anti-carceral criticism alone does not prove rejection of personal-to-political action or standpoint authority.</x:v>
      </x:c>
      <x:c r="L45" s="105" t="str">
        <x:v>NO EVIDENCE</x:v>
      </x:c>
      <x:c r="M45" s="105" t="str">
        <x:v>NO EVIDENCE</x:v>
      </x:c>
      <x:c r="N45" s="106" t="str">
        <x:v>https://doi.org/10.1002/sgp2.12027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6c009bf26be644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30" hidden="0" customWidth="1"/>
    <x:col min="4" max="4" width="44" hidden="0" customWidth="1"/>
    <x:col min="5" max="5" width="27" hidden="0" customWidth="1"/>
    <x:col min="6" max="6" width="22" hidden="0" customWidth="1"/>
    <x:col min="7" max="7" width="22" hidden="0" customWidth="1"/>
    <x:col min="8" max="8" width="27" hidden="0" customWidth="1"/>
    <x:col min="9" max="9" width="27" hidden="0" customWidth="1"/>
    <x:col min="10" max="10" width="70" hidden="0" customWidth="1"/>
    <x:col min="11" max="11" width="56" hidden="0" customWidth="1"/>
    <x:col min="12" max="12" width="21" hidden="0" customWidth="1"/>
    <x:col min="13" max="13" width="21" hidden="0" customWidth="1"/>
    <x:col min="14" max="14" width="58" hidden="0" customWidth="1"/>
  </x:cols>
  <x:sheetData>
    <x:row r="1" ht="30" customHeight="1">
      <x:c r="A1" s="3" t="str">
        <x:v>Scanner, reception, and non-authorial premise records</x:v>
      </x:c>
    </x:row>
    <x:row r="2" ht="38" customHeight="1">
      <x:c r="A2" s="7" t="str">
        <x:v>Records used for scanner mechanisms, reception, or other evidence roles rather than an author's position on the two premises.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8" customHeight="1">
      <x:c r="A4" s="11" t="str">
        <x:v>Source ID</x:v>
      </x:c>
      <x:c r="B4" s="11" t="str">
        <x:v>Year</x:v>
      </x:c>
      <x:c r="C4" s="11" t="str">
        <x:v>Authors</x:v>
      </x:c>
      <x:c r="D4" s="11" t="str">
        <x:v>Title</x:v>
      </x:c>
      <x:c r="E4" s="11" t="str">
        <x:v>Premise class</x:v>
      </x:c>
      <x:c r="F4" s="11" t="str">
        <x:v>PIP position</x:v>
      </x:c>
      <x:c r="G4" s="11" t="str">
        <x:v>Standpoint position</x:v>
      </x:c>
      <x:c r="H4" s="11" t="str">
        <x:v>#MeToo relation</x:v>
      </x:c>
      <x:c r="I4" s="11" t="str">
        <x:v>Publication type</x:v>
      </x:c>
      <x:c r="J4" s="11" t="str">
        <x:v>One-line ironman thesis</x:v>
      </x:c>
      <x:c r="K4" s="11" t="str">
        <x:v>Evidence limit / anti-TWIST guardrail</x:v>
      </x:c>
      <x:c r="L4" s="11" t="str">
        <x:v>PIP evidence strength</x:v>
      </x:c>
      <x:c r="M4" s="11" t="str">
        <x:v>Standpoint evidence strength</x:v>
      </x:c>
      <x:c r="N4" s="11" t="str">
        <x:v>Primary URL</x:v>
      </x:c>
    </x:row>
    <x:row r="5" ht="58" customHeight="1">
      <x:c r="A5" s="101" t="n">
        <x:v>53</x:v>
      </x:c>
      <x:c r="B5" s="102" t="n">
        <x:v>2018</x:v>
      </x:c>
      <x:c r="C5" s="102" t="str">
        <x:v>Kim Willsher</x:v>
      </x:c>
      <x:c r="D5" s="102" t="str">
        <x:v>Catherine Deneuve’s claim of #MeToo witch-hunt sparks backlash</x:v>
      </x:c>
      <x:c r="E5" s="102" t="str">
        <x:v>NOT APPLICABLE</x:v>
      </x:c>
      <x:c r="F5" s="102" t="str">
        <x:v>NOT APPLICABLE</x:v>
      </x:c>
      <x:c r="G5" s="102" t="str">
        <x:v>NOT APPLICABLE</x:v>
      </x:c>
      <x:c r="H5" s="102" t="str">
        <x:v>Reception only</x:v>
      </x:c>
      <x:c r="I5" s="102" t="str">
        <x:v>Press report</x:v>
      </x:c>
      <x:c r="J5" s="102" t="str">
        <x:v>The backlash classified dissenters as rape apologists, defenders of abusers, privileged relics, or victims of internalized misogyny, documenting functional boundary policing.</x:v>
      </x:c>
      <x:c r="K5" s="102" t="str">
        <x:v>News reporting documents reactions; it does not prove a formal expulsion mechanism or the reporter’s own premise position.</x:v>
      </x:c>
      <x:c r="L5" s="102" t="str">
        <x:v>NOT APPLICABLE</x:v>
      </x:c>
      <x:c r="M5" s="102" t="str">
        <x:v>NOT APPLICABLE</x:v>
      </x:c>
      <x:c r="N5" s="103" t="str">
        <x:v>www.theguardian.com/film/2018/jan/10/catherine-deneuve-claim-metoo-witch-hunt-backlash</x:v>
      </x:c>
    </x:row>
    <x:row r="6" ht="58" customHeight="1">
      <x:c r="A6" s="75" t="n">
        <x:v>54</x:v>
      </x:c>
      <x:c r="B6" s="76" t="n">
        <x:v>2018</x:v>
      </x:c>
      <x:c r="C6" s="76" t="str">
        <x:v>Kim Willsher</x:v>
      </x:c>
      <x:c r="D6" s="76" t="str">
        <x:v>Catherine Deneuve apologises to sex attack victims after #MeToo controversy</x:v>
      </x:c>
      <x:c r="E6" s="76" t="str">
        <x:v>NOT APPLICABLE</x:v>
      </x:c>
      <x:c r="F6" s="76" t="str">
        <x:v>NOT APPLICABLE</x:v>
      </x:c>
      <x:c r="G6" s="76" t="str">
        <x:v>NOT APPLICABLE</x:v>
      </x:c>
      <x:c r="H6" s="76" t="str">
        <x:v>Reception only</x:v>
      </x:c>
      <x:c r="I6" s="76" t="str">
        <x:v>Press report</x:v>
      </x:c>
      <x:c r="J6" s="76" t="str">
        <x:v>Deneuve apologized to victims and condemned a co-signatory’s remarks while retaining her objection to media lynching, showing clarification rather than wholesale recantation.</x:v>
      </x:c>
      <x:c r="K6" s="76" t="str">
        <x:v>A news report about clarification, not an academic assessment of the underlying claims.</x:v>
      </x:c>
      <x:c r="L6" s="76" t="str">
        <x:v>NOT APPLICABLE</x:v>
      </x:c>
      <x:c r="M6" s="76" t="str">
        <x:v>NOT APPLICABLE</x:v>
      </x:c>
      <x:c r="N6" s="77" t="str">
        <x:v>www.theguardian.com/film/2018/jan/15/catherine-deneuve-speaks-out-over-metoo-controversy</x:v>
      </x:c>
    </x:row>
    <x:row r="7" ht="58" customHeight="1">
      <x:c r="A7" s="72" t="n">
        <x:v>55</x:v>
      </x:c>
      <x:c r="B7" s="73" t="n">
        <x:v>2019</x:v>
      </x:c>
      <x:c r="C7" s="73" t="str">
        <x:v>Samir Passi and Solon Barocas</x:v>
      </x:c>
      <x:c r="D7" s="73" t="str">
        <x:v>Problem Formulation and Fairness</x:v>
      </x:c>
      <x:c r="E7" s="73" t="str">
        <x:v>NOT APPLICABLE</x:v>
      </x:c>
      <x:c r="F7" s="73" t="str">
        <x:v>NOT APPLICABLE</x:v>
      </x:c>
      <x:c r="G7" s="73" t="str">
        <x:v>NOT APPLICABLE</x:v>
      </x:c>
      <x:c r="H7" s="73" t="str">
        <x:v>AI / scanner mechanism only</x:v>
      </x:c>
      <x:c r="I7" s="73" t="str">
        <x:v>Conference paper</x:v>
      </x:c>
      <x:c r="J7" s="73" t="str">
        <x:v>A system’s values enter before modeling, when designers decide what problem counts, what target represents it, and which outcomes matter.</x:v>
      </x:c>
      <x:c r="K7" s="73" t="str">
        <x:v>Explains a general sociotechnical mechanism; it does not prove that a particular #MeToo scan was biased without a separate audit.</x:v>
      </x:c>
      <x:c r="L7" s="73" t="str">
        <x:v>NOT APPLICABLE</x:v>
      </x:c>
      <x:c r="M7" s="73" t="str">
        <x:v>NOT APPLICABLE</x:v>
      </x:c>
      <x:c r="N7" s="74" t="str">
        <x:v>www.doi.org/10.1145/3287560.3287567</x:v>
      </x:c>
    </x:row>
    <x:row r="8" ht="58" customHeight="1">
      <x:c r="A8" s="75" t="n">
        <x:v>56</x:v>
      </x:c>
      <x:c r="B8" s="76" t="n">
        <x:v>2021</x:v>
      </x:c>
      <x:c r="C8" s="76" t="str">
        <x:v>Abigail Z. Jacobs and Hanna Wallach</x:v>
      </x:c>
      <x:c r="D8" s="76" t="str">
        <x:v>Measurement and Fairness</x:v>
      </x:c>
      <x:c r="E8" s="76" t="str">
        <x:v>NOT APPLICABLE</x:v>
      </x:c>
      <x:c r="F8" s="76" t="str">
        <x:v>NOT APPLICABLE</x:v>
      </x:c>
      <x:c r="G8" s="76" t="str">
        <x:v>NOT APPLICABLE</x:v>
      </x:c>
      <x:c r="H8" s="76" t="str">
        <x:v>AI / scanner mechanism only</x:v>
      </x:c>
      <x:c r="I8" s="76" t="str">
        <x:v>Conference paper</x:v>
      </x:c>
      <x:c r="J8" s="76" t="str">
        <x:v>Fairness fails when a convenient measurable proxy is treated as the real social concept, so construct choice and validation are ethical decisions.</x:v>
      </x:c>
      <x:c r="K8" s="76" t="str">
        <x:v>A general measurement framework, not direct evidence about the #MeToo bibliography.</x:v>
      </x:c>
      <x:c r="L8" s="76" t="str">
        <x:v>NOT APPLICABLE</x:v>
      </x:c>
      <x:c r="M8" s="76" t="str">
        <x:v>NOT APPLICABLE</x:v>
      </x:c>
      <x:c r="N8" s="77" t="str">
        <x:v>www.doi.org/10.1145/3442188.3445901</x:v>
      </x:c>
    </x:row>
    <x:row r="9" ht="58" customHeight="1">
      <x:c r="A9" s="72" t="n">
        <x:v>57</x:v>
      </x:c>
      <x:c r="B9" s="73" t="n">
        <x:v>2020</x:v>
      </x:c>
      <x:c r="C9" s="73" t="str">
        <x:v>Su Lin Blodgett, Solon Barocas, Hal Daumé III, and Hanna Wallach</x:v>
      </x:c>
      <x:c r="D9" s="73" t="str">
        <x:v>Language (Technology) Is Power: A Critical Survey of ‘Bias’ in NLP</x:v>
      </x:c>
      <x:c r="E9" s="73" t="str">
        <x:v>NOT APPLICABLE</x:v>
      </x:c>
      <x:c r="F9" s="73" t="str">
        <x:v>NOT APPLICABLE</x:v>
      </x:c>
      <x:c r="G9" s="73" t="str">
        <x:v>NOT APPLICABLE</x:v>
      </x:c>
      <x:c r="H9" s="73" t="str">
        <x:v>AI / scanner mechanism only</x:v>
      </x:c>
      <x:c r="I9" s="73" t="str">
        <x:v>Conference paper</x:v>
      </x:c>
      <x:c r="J9" s="73" t="str">
        <x:v>NLP bias research always embeds judgments about harm and power, so researchers should state those commitments and involve affected communities.</x:v>
      </x:c>
      <x:c r="K9" s="73" t="str">
        <x:v>A field-level survey and normative framework, not a direct audit of this scanner.</x:v>
      </x:c>
      <x:c r="L9" s="73" t="str">
        <x:v>NOT APPLICABLE</x:v>
      </x:c>
      <x:c r="M9" s="73" t="str">
        <x:v>NOT APPLICABLE</x:v>
      </x:c>
      <x:c r="N9" s="74" t="str">
        <x:v>www.aclanthology.org/2020.acl-main.485/</x:v>
      </x:c>
    </x:row>
    <x:row r="10" ht="58" customHeight="1">
      <x:c r="A10" s="75" t="n">
        <x:v>58</x:v>
      </x:c>
      <x:c r="B10" s="76" t="n">
        <x:v>2022</x:v>
      </x:c>
      <x:c r="C10" s="76" t="str">
        <x:v>Abeba Birhane and colleagues</x:v>
      </x:c>
      <x:c r="D10" s="76" t="str">
        <x:v>The Values Encoded in Machine Learning Research</x:v>
      </x:c>
      <x:c r="E10" s="76" t="str">
        <x:v>NOT APPLICABLE</x:v>
      </x:c>
      <x:c r="F10" s="76" t="str">
        <x:v>NOT APPLICABLE</x:v>
      </x:c>
      <x:c r="G10" s="76" t="str">
        <x:v>NOT APPLICABLE</x:v>
      </x:c>
      <x:c r="H10" s="76" t="str">
        <x:v>AI / scanner mechanism only</x:v>
      </x:c>
      <x:c r="I10" s="76" t="str">
        <x:v>Conference paper</x:v>
      </x:c>
      <x:c r="J10" s="76" t="str">
        <x:v>Influential machine-learning papers repeatedly reward performance, scale, and novelty while sidelining social needs, showing that the field encodes institutional values.</x:v>
      </x:c>
      <x:c r="K10" s="76" t="str">
        <x:v>Audits ML research culture broadly, not #MeToo retrieval specifically.</x:v>
      </x:c>
      <x:c r="L10" s="76" t="str">
        <x:v>NOT APPLICABLE</x:v>
      </x:c>
      <x:c r="M10" s="76" t="str">
        <x:v>NOT APPLICABLE</x:v>
      </x:c>
      <x:c r="N10" s="77" t="str">
        <x:v>www.doi.org/10.1145/3531146.3533083</x:v>
      </x:c>
    </x:row>
    <x:row r="11" ht="58" customHeight="1">
      <x:c r="A11" s="72" t="n">
        <x:v>59</x:v>
      </x:c>
      <x:c r="B11" s="73" t="n">
        <x:v>2021</x:v>
      </x:c>
      <x:c r="C11" s="73" t="str">
        <x:v>Navid Rekabsaz, Simone Kopeinik, and Markus Schedl</x:v>
      </x:c>
      <x:c r="D11" s="73" t="str">
        <x:v>Societal Biases in Retrieved Contents: Measurement Framework and Adversarial Mitigation of BERT Rankers</x:v>
      </x:c>
      <x:c r="E11" s="73" t="str">
        <x:v>NOT APPLICABLE</x:v>
      </x:c>
      <x:c r="F11" s="73" t="str">
        <x:v>NOT APPLICABLE</x:v>
      </x:c>
      <x:c r="G11" s="73" t="str">
        <x:v>NOT APPLICABLE</x:v>
      </x:c>
      <x:c r="H11" s="73" t="str">
        <x:v>AI / scanner mechanism only</x:v>
      </x:c>
      <x:c r="I11" s="73" t="str">
        <x:v>Conference paper</x:v>
      </x:c>
      <x:c r="J11" s="73" t="str">
        <x:v>Search bias can enter through both the collection and the ranking system, and rankers can amplify disparities already present in indexed material.</x:v>
      </x:c>
      <x:c r="K11" s="73" t="str">
        <x:v>A general retrieval study; applying it to the #MeToo scan requires scanner-specific diagnostics.</x:v>
      </x:c>
      <x:c r="L11" s="73" t="str">
        <x:v>NOT APPLICABLE</x:v>
      </x:c>
      <x:c r="M11" s="73" t="str">
        <x:v>NOT APPLICABLE</x:v>
      </x:c>
      <x:c r="N11" s="74" t="str">
        <x:v>www.doi.org/10.1145/3404835.3462949</x:v>
      </x:c>
    </x:row>
    <x:row r="12" ht="58" customHeight="1">
      <x:c r="A12" s="75" t="n">
        <x:v>60</x:v>
      </x:c>
      <x:c r="B12" s="76" t="n">
        <x:v>2020</x:v>
      </x:c>
      <x:c r="C12" s="76" t="str">
        <x:v>Milagros Miceli, Martin Schuessler, and Tianling Yang</x:v>
      </x:c>
      <x:c r="D12" s="76" t="str">
        <x:v>Between Subjectivity and Imposition: Power Dynamics in Data Annotation for Computer Vision</x:v>
      </x:c>
      <x:c r="E12" s="76" t="str">
        <x:v>NOT APPLICABLE</x:v>
      </x:c>
      <x:c r="F12" s="76" t="str">
        <x:v>NOT APPLICABLE</x:v>
      </x:c>
      <x:c r="G12" s="76" t="str">
        <x:v>NOT APPLICABLE</x:v>
      </x:c>
      <x:c r="H12" s="76" t="str">
        <x:v>AI / scanner mechanism only</x:v>
      </x:c>
      <x:c r="I12" s="76" t="str">
        <x:v>Conference paper</x:v>
      </x:c>
      <x:c r="J12" s="76" t="str">
        <x:v>Training labels are shaped by clients’ categories, instructions, and labor power, so annotation can impose an ontology rather than neutrally discover truth.</x:v>
      </x:c>
      <x:c r="K12" s="76" t="str">
        <x:v>A computer-vision annotation study used as a general mechanism analogy.</x:v>
      </x:c>
      <x:c r="L12" s="76" t="str">
        <x:v>NOT APPLICABLE</x:v>
      </x:c>
      <x:c r="M12" s="76" t="str">
        <x:v>NOT APPLICABLE</x:v>
      </x:c>
      <x:c r="N12" s="77" t="str">
        <x:v>www.doi.org/10.1145/3415186</x:v>
      </x:c>
    </x:row>
    <x:row r="13" ht="58" customHeight="1">
      <x:c r="A13" s="72" t="n">
        <x:v>61</x:v>
      </x:c>
      <x:c r="B13" s="73" t="n">
        <x:v>2022</x:v>
      </x:c>
      <x:c r="C13" s="73" t="str">
        <x:v>Maarten Sap and colleagues</x:v>
      </x:c>
      <x:c r="D13" s="73" t="str">
        <x:v>Annotators with Attitudes: How Annotator Beliefs And Identities Bias Toxic Language Detection</x:v>
      </x:c>
      <x:c r="E13" s="73" t="str">
        <x:v>NOT APPLICABLE</x:v>
      </x:c>
      <x:c r="F13" s="73" t="str">
        <x:v>NOT APPLICABLE</x:v>
      </x:c>
      <x:c r="G13" s="73" t="str">
        <x:v>NOT APPLICABLE</x:v>
      </x:c>
      <x:c r="H13" s="73" t="str">
        <x:v>AI / scanner mechanism only</x:v>
      </x:c>
      <x:c r="I13" s="73" t="str">
        <x:v>Conference paper</x:v>
      </x:c>
      <x:c r="J13" s="73" t="str">
        <x:v>Annotators’ identities and beliefs systematically affect toxicity judgments, and models trained on aggregated labels can inherit those perspectives.</x:v>
      </x:c>
      <x:c r="K13" s="73" t="str">
        <x:v>Demonstrates subjectivity in toxicity annotation, not the exact causal history of the #MeToo scanner.</x:v>
      </x:c>
      <x:c r="L13" s="73" t="str">
        <x:v>NOT APPLICABLE</x:v>
      </x:c>
      <x:c r="M13" s="73" t="str">
        <x:v>NOT APPLICABLE</x:v>
      </x:c>
      <x:c r="N13" s="74" t="str">
        <x:v>www.aclanthology.org/2022.naacl-main.431/</x:v>
      </x:c>
    </x:row>
    <x:row r="14" ht="58" customHeight="1">
      <x:c r="A14" s="75" t="n">
        <x:v>62</x:v>
      </x:c>
      <x:c r="B14" s="76" t="n">
        <x:v>2022</x:v>
      </x:c>
      <x:c r="C14" s="76" t="str">
        <x:v>Aida Mostafazadeh Davani, Mark Díaz, and Vinodkumar Prabhakaran</x:v>
      </x:c>
      <x:c r="D14" s="76" t="str">
        <x:v>Dealing with Disagreements: Looking Beyond the Majority Vote in Subjective Annotations</x:v>
      </x:c>
      <x:c r="E14" s="76" t="str">
        <x:v>NOT APPLICABLE</x:v>
      </x:c>
      <x:c r="F14" s="76" t="str">
        <x:v>NOT APPLICABLE</x:v>
      </x:c>
      <x:c r="G14" s="76" t="str">
        <x:v>NOT APPLICABLE</x:v>
      </x:c>
      <x:c r="H14" s="76" t="str">
        <x:v>AI / scanner mechanism only</x:v>
      </x:c>
      <x:c r="I14" s="76" t="str">
        <x:v>Peer-reviewed journal article</x:v>
      </x:c>
      <x:c r="J14" s="76" t="str">
        <x:v>Majority labels erase structured moral disagreement, while multi-annotator models preserve distinct perspectives instead of treating dissent as noise.</x:v>
      </x:c>
      <x:c r="K14" s="76" t="str">
        <x:v>Offers a modeling method, not proof that every disagreement is equally informed or ethically acceptable.</x:v>
      </x:c>
      <x:c r="L14" s="76" t="str">
        <x:v>NOT APPLICABLE</x:v>
      </x:c>
      <x:c r="M14" s="76" t="str">
        <x:v>NOT APPLICABLE</x:v>
      </x:c>
      <x:c r="N14" s="77" t="str">
        <x:v>www.aclanthology.org/2022.tacl-1.6/</x:v>
      </x:c>
    </x:row>
    <x:row r="15" ht="58" customHeight="1">
      <x:c r="A15" s="72" t="n">
        <x:v>63</x:v>
      </x:c>
      <x:c r="B15" s="73" t="n">
        <x:v>2023</x:v>
      </x:c>
      <x:c r="C15" s="73" t="str">
        <x:v>Eve Fleisig, Rediet Abebe, and Dan Klein</x:v>
      </x:c>
      <x:c r="D15" s="73" t="str">
        <x:v>When the Majority Is Wrong: Modeling Annotator Disagreement for Subjective Tasks</x:v>
      </x:c>
      <x:c r="E15" s="73" t="str">
        <x:v>NOT APPLICABLE</x:v>
      </x:c>
      <x:c r="F15" s="73" t="str">
        <x:v>NOT APPLICABLE</x:v>
      </x:c>
      <x:c r="G15" s="73" t="str">
        <x:v>NOT APPLICABLE</x:v>
      </x:c>
      <x:c r="H15" s="73" t="str">
        <x:v>AI / scanner mechanism only</x:v>
      </x:c>
      <x:c r="I15" s="73" t="str">
        <x:v>Conference paper</x:v>
      </x:c>
      <x:c r="J15" s="73" t="str">
        <x:v>For subjective harms, the people targeted by the content can judge its harm differently from majorities, so systems can model target-group assessments directly.</x:v>
      </x:c>
      <x:c r="K15" s="73" t="str">
        <x:v>Supports group-sensitive analysis but does not make target-group judgments infallible.</x:v>
      </x:c>
      <x:c r="L15" s="73" t="str">
        <x:v>NOT APPLICABLE</x:v>
      </x:c>
      <x:c r="M15" s="73" t="str">
        <x:v>NOT APPLICABLE</x:v>
      </x:c>
      <x:c r="N15" s="74" t="str">
        <x:v>www.aclanthology.org/2023.emnlp-main.415/</x:v>
      </x:c>
    </x:row>
    <x:row r="16" ht="58" customHeight="1">
      <x:c r="A16" s="75" t="n">
        <x:v>64</x:v>
      </x:c>
      <x:c r="B16" s="76" t="n">
        <x:v>2022</x:v>
      </x:c>
      <x:c r="C16" s="76" t="str">
        <x:v>Long Ouyang and colleagues</x:v>
      </x:c>
      <x:c r="D16" s="76" t="str">
        <x:v>Training Language Models to Follow Instructions with Human Feedback</x:v>
      </x:c>
      <x:c r="E16" s="76" t="str">
        <x:v>NOT APPLICABLE</x:v>
      </x:c>
      <x:c r="F16" s="76" t="str">
        <x:v>NOT APPLICABLE</x:v>
      </x:c>
      <x:c r="G16" s="76" t="str">
        <x:v>NOT APPLICABLE</x:v>
      </x:c>
      <x:c r="H16" s="76" t="str">
        <x:v>AI / scanner mechanism only</x:v>
      </x:c>
      <x:c r="I16" s="76" t="str">
        <x:v>Working paper / preprint</x:v>
      </x:c>
      <x:c r="J16" s="76" t="str">
        <x:v>RLHF aligns a model to a small selected group’s demonstrations and rankings, so who labels and how their judgments are weighted shapes the resulting assistant.</x:v>
      </x:c>
      <x:c r="K16" s="76" t="str">
        <x:v>Describes a training pipeline; it does not by itself prove a specific ideological direction in any deployed model.</x:v>
      </x:c>
      <x:c r="L16" s="76" t="str">
        <x:v>NOT APPLICABLE</x:v>
      </x:c>
      <x:c r="M16" s="76" t="str">
        <x:v>NOT APPLICABLE</x:v>
      </x:c>
      <x:c r="N16" s="77" t="str">
        <x:v>www.arxiv.org/abs/2203.02155</x:v>
      </x:c>
    </x:row>
    <x:row r="17" ht="58" customHeight="1">
      <x:c r="A17" s="72" t="n">
        <x:v>65</x:v>
      </x:c>
      <x:c r="B17" s="73" t="n">
        <x:v>2023</x:v>
      </x:c>
      <x:c r="C17" s="73" t="str">
        <x:v>Todor Markov and colleagues</x:v>
      </x:c>
      <x:c r="D17" s="73" t="str">
        <x:v>A Holistic Approach to Undesired Content Detection in the Real World</x:v>
      </x:c>
      <x:c r="E17" s="73" t="str">
        <x:v>NOT APPLICABLE</x:v>
      </x:c>
      <x:c r="F17" s="73" t="str">
        <x:v>NOT APPLICABLE</x:v>
      </x:c>
      <x:c r="G17" s="73" t="str">
        <x:v>NOT APPLICABLE</x:v>
      </x:c>
      <x:c r="H17" s="73" t="str">
        <x:v>AI / scanner mechanism only</x:v>
      </x:c>
      <x:c r="I17" s="73" t="str">
        <x:v>Conference paper</x:v>
      </x:c>
      <x:c r="J17" s="73" t="str">
        <x:v>Moderation performance depends on the taxonomy of forbidden content, labeling rules, datasets, and feedback loops, so policy categories become model behavior.</x:v>
      </x:c>
      <x:c r="K17" s="73" t="str">
        <x:v>A moderation engineering account rather than a direct audit of #MeToo retrieval.</x:v>
      </x:c>
      <x:c r="L17" s="73" t="str">
        <x:v>NOT APPLICABLE</x:v>
      </x:c>
      <x:c r="M17" s="73" t="str">
        <x:v>NOT APPLICABLE</x:v>
      </x:c>
      <x:c r="N17" s="74" t="str">
        <x:v>www.doi.org/10.1609/aaai.v37i12.26752</x:v>
      </x:c>
    </x:row>
    <x:row r="18" ht="58" customHeight="1">
      <x:c r="A18" s="75" t="n">
        <x:v>66</x:v>
      </x:c>
      <x:c r="B18" s="76" t="n">
        <x:v>2020</x:v>
      </x:c>
      <x:c r="C18" s="76" t="str">
        <x:v>Robert Gorwa, Reuben Binns, and Christian Katzenbach</x:v>
      </x:c>
      <x:c r="D18" s="76" t="str">
        <x:v>Algorithmic Content Moderation: Technical and Political Challenges in the Automation of Platform Governance</x:v>
      </x:c>
      <x:c r="E18" s="76" t="str">
        <x:v>NOT APPLICABLE</x:v>
      </x:c>
      <x:c r="F18" s="76" t="str">
        <x:v>NOT APPLICABLE</x:v>
      </x:c>
      <x:c r="G18" s="76" t="str">
        <x:v>NOT APPLICABLE</x:v>
      </x:c>
      <x:c r="H18" s="76" t="str">
        <x:v>AI / scanner mechanism only</x:v>
      </x:c>
      <x:c r="I18" s="76" t="str">
        <x:v>Peer-reviewed journal article</x:v>
      </x:c>
      <x:c r="J18" s="76" t="str">
        <x:v>Automated moderation can invisibly privilege viewpoints and hide political decisions behind opaque technical systems.</x:v>
      </x:c>
      <x:c r="K18" s="76" t="str">
        <x:v>A platform-governance analysis, not evidence that this research scanner performed moderation.</x:v>
      </x:c>
      <x:c r="L18" s="76" t="str">
        <x:v>NOT APPLICABLE</x:v>
      </x:c>
      <x:c r="M18" s="76" t="str">
        <x:v>NOT APPLICABLE</x:v>
      </x:c>
      <x:c r="N18" s="77" t="str">
        <x:v>www.doi.org/10.1177/2053951719897945</x:v>
      </x:c>
    </x:row>
    <x:row r="19" ht="58" customHeight="1">
      <x:c r="A19" s="72" t="n">
        <x:v>67</x:v>
      </x:c>
      <x:c r="B19" s="73" t="n">
        <x:v>2020</x:v>
      </x:c>
      <x:c r="C19" s="73" t="str">
        <x:v>Tarleton Gillespie</x:v>
      </x:c>
      <x:c r="D19" s="73" t="str">
        <x:v>Content Moderation, AI, and the Question of Scale</x:v>
      </x:c>
      <x:c r="E19" s="73" t="str">
        <x:v>NOT APPLICABLE</x:v>
      </x:c>
      <x:c r="F19" s="73" t="str">
        <x:v>NOT APPLICABLE</x:v>
      </x:c>
      <x:c r="G19" s="73" t="str">
        <x:v>NOT APPLICABLE</x:v>
      </x:c>
      <x:c r="H19" s="73" t="str">
        <x:v>AI / scanner mechanism only</x:v>
      </x:c>
      <x:c r="I19" s="73" t="str">
        <x:v>Peer-reviewed journal article</x:v>
      </x:c>
      <x:c r="J19" s="73" t="str">
        <x:v>Machine moderation scales earlier human policy judgments across millions of cases while losing context and making small classification rules socially powerful.</x:v>
      </x:c>
      <x:c r="K19" s="73" t="str">
        <x:v>A conceptual platform analysis; its application to bibliography retrieval remains analogical.</x:v>
      </x:c>
      <x:c r="L19" s="73" t="str">
        <x:v>NOT APPLICABLE</x:v>
      </x:c>
      <x:c r="M19" s="73" t="str">
        <x:v>NOT APPLICABLE</x:v>
      </x:c>
      <x:c r="N19" s="74" t="str">
        <x:v>www.doi.org/10.1177/2053951720943234</x:v>
      </x:c>
    </x:row>
    <x:row r="20" ht="58" customHeight="1">
      <x:c r="A20" s="75" t="n">
        <x:v>68</x:v>
      </x:c>
      <x:c r="B20" s="76" t="n">
        <x:v>2023</x:v>
      </x:c>
      <x:c r="C20" s="76" t="str">
        <x:v>Stephen Casper and colleagues</x:v>
      </x:c>
      <x:c r="D20" s="76" t="str">
        <x:v>Open Problems and Fundamental Limitations of Reinforcement Learning from Human Feedback</x:v>
      </x:c>
      <x:c r="E20" s="76" t="str">
        <x:v>NOT APPLICABLE</x:v>
      </x:c>
      <x:c r="F20" s="76" t="str">
        <x:v>NOT APPLICABLE</x:v>
      </x:c>
      <x:c r="G20" s="76" t="str">
        <x:v>NOT APPLICABLE</x:v>
      </x:c>
      <x:c r="H20" s="76" t="str">
        <x:v>AI / scanner mechanism only</x:v>
      </x:c>
      <x:c r="I20" s="76" t="str">
        <x:v>Peer-reviewed journal article</x:v>
      </x:c>
      <x:c r="J20" s="76" t="str">
        <x:v>RLHF inherits evaluator disagreement, selection bias, limited answer choices, missing context, and reward failures, so human feedback cannot serve as neutral ground truth.</x:v>
      </x:c>
      <x:c r="K20" s="76" t="str">
        <x:v>A general limitations survey; it does not identify which failure explains any one scanner result.</x:v>
      </x:c>
      <x:c r="L20" s="76" t="str">
        <x:v>NOT APPLICABLE</x:v>
      </x:c>
      <x:c r="M20" s="76" t="str">
        <x:v>NOT APPLICABLE</x:v>
      </x:c>
      <x:c r="N20" s="77" t="str">
        <x:v>www.openreview.net/forum?id=bx24KpJ4Eb</x:v>
      </x:c>
    </x:row>
    <x:row r="21" ht="58" customHeight="1">
      <x:c r="A21" s="72" t="n">
        <x:v>69</x:v>
      </x:c>
      <x:c r="B21" s="73" t="n">
        <x:v>2023</x:v>
      </x:c>
      <x:c r="C21" s="73" t="str">
        <x:v>Shibani Santurkar and colleagues</x:v>
      </x:c>
      <x:c r="D21" s="73" t="str">
        <x:v>Whose Opinions Do Language Models Reflect?</x:v>
      </x:c>
      <x:c r="E21" s="73" t="str">
        <x:v>NOT APPLICABLE</x:v>
      </x:c>
      <x:c r="F21" s="73" t="str">
        <x:v>NOT APPLICABLE</x:v>
      </x:c>
      <x:c r="G21" s="73" t="str">
        <x:v>NOT APPLICABLE</x:v>
      </x:c>
      <x:c r="H21" s="73" t="str">
        <x:v>AI / scanner mechanism only</x:v>
      </x:c>
      <x:c r="I21" s="73" t="str">
        <x:v>Conference paper</x:v>
      </x:c>
      <x:c r="J21" s="73" t="str">
        <x:v>Human-feedback-tuned language models fit some demographic and political opinions better than others, revealing whose preferences alignment actually represents.</x:v>
      </x:c>
      <x:c r="K21" s="73" t="str">
        <x:v>Opinion alignment results do not establish the cause of every content-specific retrieval imbalance.</x:v>
      </x:c>
      <x:c r="L21" s="73" t="str">
        <x:v>NOT APPLICABLE</x:v>
      </x:c>
      <x:c r="M21" s="73" t="str">
        <x:v>NOT APPLICABLE</x:v>
      </x:c>
      <x:c r="N21" s="74" t="str">
        <x:v>www.proceedings.mlr.press/v202/santurkar23a.html</x:v>
      </x:c>
    </x:row>
    <x:row r="22" ht="58" customHeight="1">
      <x:c r="A22" s="75" t="n">
        <x:v>70</x:v>
      </x:c>
      <x:c r="B22" s="76" t="n">
        <x:v>2024</x:v>
      </x:c>
      <x:c r="C22" s="76" t="str">
        <x:v>Ryan Koo and colleagues</x:v>
      </x:c>
      <x:c r="D22" s="76" t="str">
        <x:v>Benchmarking Cognitive Biases in Large Language Models as Evaluators</x:v>
      </x:c>
      <x:c r="E22" s="76" t="str">
        <x:v>NOT APPLICABLE</x:v>
      </x:c>
      <x:c r="F22" s="76" t="str">
        <x:v>NOT APPLICABLE</x:v>
      </x:c>
      <x:c r="G22" s="76" t="str">
        <x:v>NOT APPLICABLE</x:v>
      </x:c>
      <x:c r="H22" s="76" t="str">
        <x:v>AI / scanner mechanism only</x:v>
      </x:c>
      <x:c r="I22" s="76" t="str">
        <x:v>Conference paper</x:v>
      </x:c>
      <x:c r="J22" s="76" t="str">
        <x:v>LLM judges reproduce cognitive biases when scoring text, so automated evaluation can institutionalize distorted judgments.</x:v>
      </x:c>
      <x:c r="K22" s="76" t="str">
        <x:v>Benchmarks evaluator bias generally; it does not directly test the earlier #MeToo classification.</x:v>
      </x:c>
      <x:c r="L22" s="76" t="str">
        <x:v>NOT APPLICABLE</x:v>
      </x:c>
      <x:c r="M22" s="76" t="str">
        <x:v>NOT APPLICABLE</x:v>
      </x:c>
      <x:c r="N22" s="77" t="str">
        <x:v>www.doi.org/10.18653/v1/2024.findings-acl.29</x:v>
      </x:c>
    </x:row>
    <x:row r="23" ht="58" customHeight="1">
      <x:c r="A23" s="72" t="n">
        <x:v>71</x:v>
      </x:c>
      <x:c r="B23" s="73" t="n">
        <x:v>2024</x:v>
      </x:c>
      <x:c r="C23" s="73" t="str">
        <x:v>Peiyi Wang and colleagues</x:v>
      </x:c>
      <x:c r="D23" s="73" t="str">
        <x:v>Large Language Models Are Not Fair Evaluators</x:v>
      </x:c>
      <x:c r="E23" s="73" t="str">
        <x:v>NOT APPLICABLE</x:v>
      </x:c>
      <x:c r="F23" s="73" t="str">
        <x:v>NOT APPLICABLE</x:v>
      </x:c>
      <x:c r="G23" s="73" t="str">
        <x:v>NOT APPLICABLE</x:v>
      </x:c>
      <x:c r="H23" s="73" t="str">
        <x:v>AI / scanner mechanism only</x:v>
      </x:c>
      <x:c r="I23" s="73" t="str">
        <x:v>Conference paper</x:v>
      </x:c>
      <x:c r="J23" s="73" t="str">
        <x:v>LLM evaluators favor responses based on presentation order, so rankings can reflect position rather than quality.</x:v>
      </x:c>
      <x:c r="K23" s="73" t="str">
        <x:v>Tests order effects in model evaluation, not the substantive ideology of a particular research corpus.</x:v>
      </x:c>
      <x:c r="L23" s="73" t="str">
        <x:v>NOT APPLICABLE</x:v>
      </x:c>
      <x:c r="M23" s="73" t="str">
        <x:v>NOT APPLICABLE</x:v>
      </x:c>
      <x:c r="N23" s="74" t="str">
        <x:v>www.doi.org/10.18653/v1/2024.acl-long.511</x:v>
      </x:c>
    </x:row>
    <x:row r="24" ht="58" customHeight="1">
      <x:c r="A24" s="75" t="n">
        <x:v>72</x:v>
      </x:c>
      <x:c r="B24" s="76" t="n">
        <x:v>2025</x:v>
      </x:c>
      <x:c r="C24" s="76" t="str">
        <x:v>OpenAI</x:v>
      </x:c>
      <x:c r="D24" s="76" t="str">
        <x:v>Collective alignment: public input on our Model Spec</x:v>
      </x:c>
      <x:c r="E24" s="76" t="str">
        <x:v>NOT APPLICABLE</x:v>
      </x:c>
      <x:c r="F24" s="76" t="str">
        <x:v>NOT APPLICABLE</x:v>
      </x:c>
      <x:c r="G24" s="76" t="str">
        <x:v>NOT APPLICABLE</x:v>
      </x:c>
      <x:c r="H24" s="76" t="str">
        <x:v>AI / scanner mechanism only</x:v>
      </x:c>
      <x:c r="I24" s="76" t="str">
        <x:v>Institutional document</x:v>
      </x:c>
      <x:c r="J24" s="76" t="str">
        <x:v>Public input can broaden model rules, while prompt selection, ranker interpretation, base-model dependence, and production gaps can still distort the resulting consensus.</x:v>
      </x:c>
      <x:c r="K24" s="76" t="str">
        <x:v>A company report about an alignment exercise, not an independent audit of deployed behavior.</x:v>
      </x:c>
      <x:c r="L24" s="76" t="str">
        <x:v>NOT APPLICABLE</x:v>
      </x:c>
      <x:c r="M24" s="76" t="str">
        <x:v>NOT APPLICABLE</x:v>
      </x:c>
      <x:c r="N24" s="77" t="str">
        <x:v>www.openai.com/index/collective-alignment-aug-2025-updates/</x:v>
      </x:c>
    </x:row>
    <x:row r="25" ht="58" customHeight="1">
      <x:c r="A25" s="72" t="n">
        <x:v>73</x:v>
      </x:c>
      <x:c r="B25" s="73" t="n">
        <x:v>2025</x:v>
      </x:c>
      <x:c r="C25" s="73" t="str">
        <x:v>OpenAI</x:v>
      </x:c>
      <x:c r="D25" s="73" t="str">
        <x:v>Model Spec 2025-09-12</x:v>
      </x:c>
      <x:c r="E25" s="73" t="str">
        <x:v>NOT APPLICABLE</x:v>
      </x:c>
      <x:c r="F25" s="73" t="str">
        <x:v>NOT APPLICABLE</x:v>
      </x:c>
      <x:c r="G25" s="73" t="str">
        <x:v>NOT APPLICABLE</x:v>
      </x:c>
      <x:c r="H25" s="73" t="str">
        <x:v>AI / scanner mechanism only</x:v>
      </x:c>
      <x:c r="I25" s="73" t="str">
        <x:v>Institutional document</x:v>
      </x:c>
      <x:c r="J25" s="73" t="str">
        <x:v>The intended assistant should pursue objectivity and broad opinion coverage, while published behavior goals remain distinct from achieved production behavior.</x:v>
      </x:c>
      <x:c r="K25" s="73" t="str">
        <x:v>A normative specification, not empirical evidence that production systems satisfy it.</x:v>
      </x:c>
      <x:c r="L25" s="73" t="str">
        <x:v>NOT APPLICABLE</x:v>
      </x:c>
      <x:c r="M25" s="73" t="str">
        <x:v>NOT APPLICABLE</x:v>
      </x:c>
      <x:c r="N25" s="74" t="str">
        <x:v>www.model-spec.openai.com/2025-09-12.html</x:v>
      </x:c>
    </x:row>
    <x:row r="26" ht="58" customHeight="1">
      <x:c r="A26" s="75" t="n">
        <x:v>74</x:v>
      </x:c>
      <x:c r="B26" s="76" t="n">
        <x:v>2024</x:v>
      </x:c>
      <x:c r="C26" s="76" t="str">
        <x:v>Taylor Sorensen and colleagues</x:v>
      </x:c>
      <x:c r="D26" s="76" t="str">
        <x:v>Position: A Roadmap to Pluralistic Alignment</x:v>
      </x:c>
      <x:c r="E26" s="76" t="str">
        <x:v>NOT APPLICABLE</x:v>
      </x:c>
      <x:c r="F26" s="76" t="str">
        <x:v>NOT APPLICABLE</x:v>
      </x:c>
      <x:c r="G26" s="76" t="str">
        <x:v>NOT APPLICABLE</x:v>
      </x:c>
      <x:c r="H26" s="76" t="str">
        <x:v>AI / scanner mechanism only</x:v>
      </x:c>
      <x:c r="I26" s="76" t="str">
        <x:v>Conference paper</x:v>
      </x:c>
      <x:c r="J26" s="76" t="str">
        <x:v>Single-answer alignment compresses legitimate value differences, so systems should support steerable, distributional, Overton-window, and jury-style pluralism.</x:v>
      </x:c>
      <x:c r="K26" s="76" t="str">
        <x:v>A position paper and roadmap, not proof that any one pluralistic method resolves value conflict.</x:v>
      </x:c>
      <x:c r="L26" s="76" t="str">
        <x:v>NOT APPLICABLE</x:v>
      </x:c>
      <x:c r="M26" s="76" t="str">
        <x:v>NOT APPLICABLE</x:v>
      </x:c>
      <x:c r="N26" s="77" t="str">
        <x:v>www.proceedings.mlr.press/v235/sorensen24a.html</x:v>
      </x:c>
    </x:row>
    <x:row r="27" ht="58" customHeight="1">
      <x:c r="A27" s="72" t="n">
        <x:v>75</x:v>
      </x:c>
      <x:c r="B27" s="73" t="n">
        <x:v>2024</x:v>
      </x:c>
      <x:c r="C27" s="73" t="str">
        <x:v>Hannah Rose Kirk and colleagues</x:v>
      </x:c>
      <x:c r="D27" s="73" t="str">
        <x:v>The PRISM Alignment Dataset</x:v>
      </x:c>
      <x:c r="E27" s="73" t="str">
        <x:v>NOT APPLICABLE</x:v>
      </x:c>
      <x:c r="F27" s="73" t="str">
        <x:v>NOT APPLICABLE</x:v>
      </x:c>
      <x:c r="G27" s="73" t="str">
        <x:v>NOT APPLICABLE</x:v>
      </x:c>
      <x:c r="H27" s="73" t="str">
        <x:v>AI / scanner mechanism only</x:v>
      </x:c>
      <x:c r="I27" s="73" t="str">
        <x:v>Conference paper</x:v>
      </x:c>
      <x:c r="J27" s="73" t="str">
        <x:v>A global dataset linking 1,500 participants’ backgrounds to 8,011 conversations shows that who supplies feedback changes what alignment data mean.</x:v>
      </x:c>
      <x:c r="K27" s="73" t="str">
        <x:v>A dataset and benchmark resource; it does not guarantee downstream systems will preserve that plurality.</x:v>
      </x:c>
      <x:c r="L27" s="73" t="str">
        <x:v>NOT APPLICABLE</x:v>
      </x:c>
      <x:c r="M27" s="73" t="str">
        <x:v>NOT APPLICABLE</x:v>
      </x:c>
      <x:c r="N27" s="74" t="str">
        <x:v>www.doi.org/10.52202/079017-3342</x:v>
      </x:c>
    </x:row>
    <x:row r="28" ht="58" customHeight="1">
      <x:c r="A28" s="75" t="n">
        <x:v>76</x:v>
      </x:c>
      <x:c r="B28" s="76" t="n">
        <x:v>2023</x:v>
      </x:c>
      <x:c r="C28" s="76" t="str">
        <x:v>Lora Aroyo and colleagues</x:v>
      </x:c>
      <x:c r="D28" s="76" t="str">
        <x:v>DICES Dataset: Diversity in Conversational AI Evaluation for Safety</x:v>
      </x:c>
      <x:c r="E28" s="76" t="str">
        <x:v>NOT APPLICABLE</x:v>
      </x:c>
      <x:c r="F28" s="76" t="str">
        <x:v>NOT APPLICABLE</x:v>
      </x:c>
      <x:c r="G28" s="76" t="str">
        <x:v>NOT APPLICABLE</x:v>
      </x:c>
      <x:c r="H28" s="76" t="str">
        <x:v>AI / scanner mechanism only</x:v>
      </x:c>
      <x:c r="I28" s="76" t="str">
        <x:v>Conference paper</x:v>
      </x:c>
      <x:c r="J28" s="76" t="str">
        <x:v>Safety judgments vary socially and culturally, so DICES preserves individual rater votes and demographics rather than collapsing them into one label.</x:v>
      </x:c>
      <x:c r="K28" s="76" t="str">
        <x:v>Preserving disagreement improves auditability but does not decide which safety judgment should govern.</x:v>
      </x:c>
      <x:c r="L28" s="76" t="str">
        <x:v>NOT APPLICABLE</x:v>
      </x:c>
      <x:c r="M28" s="76" t="str">
        <x:v>NOT APPLICABLE</x:v>
      </x:c>
      <x:c r="N28" s="77" t="str">
        <x:v>www.research.google/pubs/dices-dataset-diversity-in-conversational-ai-evaluation-for-safety/</x:v>
      </x:c>
    </x:row>
    <x:row r="29" ht="58" customHeight="1">
      <x:c r="A29" s="72" t="n">
        <x:v>77</x:v>
      </x:c>
      <x:c r="B29" s="73" t="n">
        <x:v>2024</x:v>
      </x:c>
      <x:c r="C29" s="73" t="str">
        <x:v>Vinodkumar Prabhakaran, Christopher Homan, Lora Aroyo, Aida Mostafazadeh Davani, Alicia Parrish, Alex Taylor, Mark Diaz, Ding Wang, and Gregory Serapio-García</x:v>
      </x:c>
      <x:c r="D29" s="73" t="str">
        <x:v>GRASP: A Disagreement Analysis Framework to Assess Group Associations in Perspectives</x:v>
      </x:c>
      <x:c r="E29" s="73" t="str">
        <x:v>NOT APPLICABLE</x:v>
      </x:c>
      <x:c r="F29" s="73" t="str">
        <x:v>NOT APPLICABLE</x:v>
      </x:c>
      <x:c r="G29" s="73" t="str">
        <x:v>NOT APPLICABLE</x:v>
      </x:c>
      <x:c r="H29" s="73" t="str">
        <x:v>AI / scanner mechanism only</x:v>
      </x:c>
      <x:c r="I29" s="73" t="str">
        <x:v>Conference paper</x:v>
      </x:c>
      <x:c r="J29" s="73" t="str">
        <x:v>Group-aware disagreement analysis reveals which demographic groups systematically differ in safety and offensiveness judgments instead of treating disagreement as random error.</x:v>
      </x:c>
      <x:c r="K29" s="73" t="str">
        <x:v>Maps group-associated disagreement; it does not make every group preference correct or prescribe a final policy.</x:v>
      </x:c>
      <x:c r="L29" s="73" t="str">
        <x:v>NOT APPLICABLE</x:v>
      </x:c>
      <x:c r="M29" s="73" t="str">
        <x:v>NOT APPLICABLE</x:v>
      </x:c>
      <x:c r="N29" s="74" t="str">
        <x:v>www.aclanthology.org/2024.naacl-long.190/</x:v>
      </x:c>
    </x:row>
    <x:row r="30" ht="58" customHeight="1">
      <x:c r="A30" s="75" t="n">
        <x:v>78</x:v>
      </x:c>
      <x:c r="B30" s="76" t="n">
        <x:v>2025</x:v>
      </x:c>
      <x:c r="C30" s="76" t="str">
        <x:v>Louis Castricato, Nathan Lile, Rafael Rafailov, Jan-Philipp Fränken, and Chelsea Finn</x:v>
      </x:c>
      <x:c r="D30" s="76" t="str">
        <x:v>PERSONA: A Reproducible Testbed for Pluralistic Alignment</x:v>
      </x:c>
      <x:c r="E30" s="76" t="str">
        <x:v>NOT APPLICABLE</x:v>
      </x:c>
      <x:c r="F30" s="76" t="str">
        <x:v>NOT APPLICABLE</x:v>
      </x:c>
      <x:c r="G30" s="76" t="str">
        <x:v>NOT APPLICABLE</x:v>
      </x:c>
      <x:c r="H30" s="76" t="str">
        <x:v>AI / scanner mechanism only</x:v>
      </x:c>
      <x:c r="I30" s="76" t="str">
        <x:v>Conference paper</x:v>
      </x:c>
      <x:c r="J30" s="76" t="str">
        <x:v>Preference optimization can reinforce majority values and marginalize minority perspectives, so synthetic personas provide a testbed for pluralistic alignment.</x:v>
      </x:c>
      <x:c r="K30" s="76" t="str">
        <x:v>Uses synthetic personas derived from U.S. census profiles, so successful benchmarking is not the same as representing all real communities.</x:v>
      </x:c>
      <x:c r="L30" s="76" t="str">
        <x:v>NOT APPLICABLE</x:v>
      </x:c>
      <x:c r="M30" s="76" t="str">
        <x:v>NOT APPLICABLE</x:v>
      </x:c>
      <x:c r="N30" s="77" t="str">
        <x:v>www.aclanthology.org/2025.coling-main.752/</x:v>
      </x:c>
    </x:row>
    <x:row r="31" ht="58" customHeight="1">
      <x:c r="A31" s="72" t="n">
        <x:v>79</x:v>
      </x:c>
      <x:c r="B31" s="73" t="n">
        <x:v>2024</x:v>
      </x:c>
      <x:c r="C31" s="73" t="str">
        <x:v>Souradip Chakraborty and colleagues</x:v>
      </x:c>
      <x:c r="D31" s="73" t="str">
        <x:v>MaxMin-RLHF: Toward Equitable Alignment of Large Language Models with Diverse Human Preferences</x:v>
      </x:c>
      <x:c r="E31" s="73" t="str">
        <x:v>NOT APPLICABLE</x:v>
      </x:c>
      <x:c r="F31" s="73" t="str">
        <x:v>NOT APPLICABLE</x:v>
      </x:c>
      <x:c r="G31" s="73" t="str">
        <x:v>NOT APPLICABLE</x:v>
      </x:c>
      <x:c r="H31" s="73" t="str">
        <x:v>AI / scanner mechanism only</x:v>
      </x:c>
      <x:c r="I31" s="73" t="str">
        <x:v>Conference paper</x:v>
      </x:c>
      <x:c r="J31" s="73" t="str">
        <x:v>One reward model averages incompatible preferences, while mixture rewards and max-min optimization can protect groups whose values would otherwise be washed out.</x:v>
      </x:c>
      <x:c r="K31" s="73" t="str">
        <x:v>A technical method whose fairness depends on how preference groups are defined and sampled.</x:v>
      </x:c>
      <x:c r="L31" s="73" t="str">
        <x:v>NOT APPLICABLE</x:v>
      </x:c>
      <x:c r="M31" s="73" t="str">
        <x:v>NOT APPLICABLE</x:v>
      </x:c>
      <x:c r="N31" s="74" t="str">
        <x:v>www.proceedings.mlr.press/v235/chakraborty24b.html</x:v>
      </x:c>
    </x:row>
    <x:row r="32" ht="58" customHeight="1">
      <x:c r="A32" s="75" t="n">
        <x:v>80</x:v>
      </x:c>
      <x:c r="B32" s="76" t="n">
        <x:v>2022</x:v>
      </x:c>
      <x:c r="C32" s="76" t="str">
        <x:v>Lucy Havens and colleagues</x:v>
      </x:c>
      <x:c r="D32" s="76" t="str">
        <x:v>Beyond Explanation: What Does It Mean to Take Annotator Disagreement Seriously?</x:v>
      </x:c>
      <x:c r="E32" s="76" t="str">
        <x:v>NOT APPLICABLE</x:v>
      </x:c>
      <x:c r="F32" s="76" t="str">
        <x:v>NOT APPLICABLE</x:v>
      </x:c>
      <x:c r="G32" s="76" t="str">
        <x:v>NOT APPLICABLE</x:v>
      </x:c>
      <x:c r="H32" s="76" t="str">
        <x:v>AI / scanner mechanism only</x:v>
      </x:c>
      <x:c r="I32" s="76" t="str">
        <x:v>Peer-reviewed journal article</x:v>
      </x:c>
      <x:c r="J32" s="76" t="str">
        <x:v>Disagreement can represent genuine competing interpretations, so datasets should preserve labels and annotator perspectives instead of forcing consensus.</x:v>
      </x:c>
      <x:c r="K32" s="76" t="str">
        <x:v>A methodological proposal; retaining labels alone does not resolve harmful or uninformed judgments.</x:v>
      </x:c>
      <x:c r="L32" s="76" t="str">
        <x:v>NOT APPLICABLE</x:v>
      </x:c>
      <x:c r="M32" s="76" t="str">
        <x:v>NOT APPLICABLE</x:v>
      </x:c>
      <x:c r="N32" s="77" t="str">
        <x:v>www.aclanthology.org/2022.nlperspectives-1.10/</x:v>
      </x:c>
    </x:row>
    <x:row r="33" ht="58" customHeight="1">
      <x:c r="A33" s="72" t="n">
        <x:v>81</x:v>
      </x:c>
      <x:c r="B33" s="73" t="n">
        <x:v>2022</x:v>
      </x:c>
      <x:c r="C33" s="73" t="str">
        <x:v>Christopher R. Bakker and colleagues</x:v>
      </x:c>
      <x:c r="D33" s="73" t="str">
        <x:v>Fine-tuning language models to find agreement among humans with diverse preferences</x:v>
      </x:c>
      <x:c r="E33" s="73" t="str">
        <x:v>NOT APPLICABLE</x:v>
      </x:c>
      <x:c r="F33" s="73" t="str">
        <x:v>NOT APPLICABLE</x:v>
      </x:c>
      <x:c r="G33" s="73" t="str">
        <x:v>NOT APPLICABLE</x:v>
      </x:c>
      <x:c r="H33" s="73" t="str">
        <x:v>AI / scanner mechanism only</x:v>
      </x:c>
      <x:c r="I33" s="73" t="str">
        <x:v>Conference paper</x:v>
      </x:c>
      <x:c r="J33" s="73" t="str">
        <x:v>AI can help groups find broadly acceptable common ground, while participants excluded from consensus are often the strongest dissenters.</x:v>
      </x:c>
      <x:c r="K33" s="73" t="str">
        <x:v>Consensus generation can still marginalize principled minorities; broad agreement is not proof of truth.</x:v>
      </x:c>
      <x:c r="L33" s="73" t="str">
        <x:v>NOT APPLICABLE</x:v>
      </x:c>
      <x:c r="M33" s="73" t="str">
        <x:v>NOT APPLICABLE</x:v>
      </x:c>
      <x:c r="N33" s="74" t="str">
        <x:v>www.papers.nips.cc/paper_files/paper/2022/hash/f978c8f3b5f399cae464e85f72e28503-Abstract-Conference.html</x:v>
      </x:c>
    </x:row>
    <x:row r="34" ht="58" customHeight="1">
      <x:c r="A34" s="75" t="n">
        <x:v>82</x:v>
      </x:c>
      <x:c r="B34" s="76" t="n">
        <x:v>2023</x:v>
      </x:c>
      <x:c r="C34" s="76" t="str">
        <x:v>Chris Homan, Greg Serapio-García, Lora Aroyo, Mark Díaz, Alicia Parrish, Vinodkumar Prabhakaran, Alex Taylor, and Ding Wang</x:v>
      </x:c>
      <x:c r="D34" s="76" t="str">
        <x:v>Intersecting Demographics: Bayesian Multilevel Models Reveal Age, Gender, and Racial Differences in Safety Perception of Chatbot Conversations</x:v>
      </x:c>
      <x:c r="E34" s="76" t="str">
        <x:v>NOT APPLICABLE</x:v>
      </x:c>
      <x:c r="F34" s="76" t="str">
        <x:v>NOT APPLICABLE</x:v>
      </x:c>
      <x:c r="G34" s="76" t="str">
        <x:v>NOT APPLICABLE</x:v>
      </x:c>
      <x:c r="H34" s="76" t="str">
        <x:v>AI / scanner mechanism only</x:v>
      </x:c>
      <x:c r="I34" s="76" t="str">
        <x:v>Peer-reviewed journal article</x:v>
      </x:c>
      <x:c r="J34" s="76" t="str">
        <x:v>Safety judgments differ across intersecting age, gender, and racial groups, so an aggregate score can hide structured disagreement among raters.</x:v>
      </x:c>
      <x:c r="K34" s="76" t="str">
        <x:v>Shows association between demographics and safety judgments without making demographic identity an infallible epistemic authority.</x:v>
      </x:c>
      <x:c r="L34" s="76" t="str">
        <x:v>NOT APPLICABLE</x:v>
      </x:c>
      <x:c r="M34" s="76" t="str">
        <x:v>NOT APPLICABLE</x:v>
      </x:c>
      <x:c r="N34" s="77" t="str">
        <x:v>www.research.google/pubs/intersecting-demographics-bayesian-multilevel-models-reveal-age-gender-and-racial-differences-in-safety-perception-of-chatbot-conversations/</x:v>
      </x:c>
    </x:row>
    <x:row r="35" ht="58" customHeight="1">
      <x:c r="A35" s="72" t="n">
        <x:v>83</x:v>
      </x:c>
      <x:c r="B35" s="73" t="n">
        <x:v>2026</x:v>
      </x:c>
      <x:c r="C35" s="73" t="str">
        <x:v>Elinor Poole-Dayan, Jillian Fisher, Atoosa Kasirzadeh, Jacob Andreas, Mitchell Gordon, and Michiel A. Bakker</x:v>
      </x:c>
      <x:c r="D35" s="73" t="str">
        <x:v>A Roadmap to Impactful Pluralistic Alignment Research</x:v>
      </x:c>
      <x:c r="E35" s="73" t="str">
        <x:v>NOT APPLICABLE</x:v>
      </x:c>
      <x:c r="F35" s="73" t="str">
        <x:v>NOT APPLICABLE</x:v>
      </x:c>
      <x:c r="G35" s="73" t="str">
        <x:v>NOT APPLICABLE</x:v>
      </x:c>
      <x:c r="H35" s="73" t="str">
        <x:v>AI / scanner mechanism only</x:v>
      </x:c>
      <x:c r="I35" s="73" t="str">
        <x:v>Working paper / preprint</x:v>
      </x:c>
      <x:c r="J35" s="73" t="str">
        <x:v>Pluralistic alignment has barely reached production systems, so the field needs evidence of user benefit, a concrete target for pluralism, and deployable methods with measurable tradeoffs.</x:v>
      </x:c>
      <x:c r="K35" s="73" t="str">
        <x:v>A current roadmap and preprint, not evidence that proposed methods already work at production scale.</x:v>
      </x:c>
      <x:c r="L35" s="73" t="str">
        <x:v>NOT APPLICABLE</x:v>
      </x:c>
      <x:c r="M35" s="73" t="str">
        <x:v>NOT APPLICABLE</x:v>
      </x:c>
      <x:c r="N35" s="74" t="str">
        <x:v>www.arxiv.org/abs/2607.22305</x:v>
      </x:c>
    </x:row>
    <x:row r="36" ht="58" customHeight="1">
      <x:c r="A36" s="78" t="n">
        <x:v>84</x:v>
      </x:c>
      <x:c r="B36" s="79" t="n">
        <x:v>2025</x:v>
      </x:c>
      <x:c r="C36" s="79" t="str">
        <x:v>Chu Fei Luo, Samuel Dahan, and Xiaodan Zhu</x:v>
      </x:c>
      <x:c r="D36" s="79" t="str">
        <x:v>Towards Low-Resource Alignment to Diverse Perspectives with Sparse Feedback</x:v>
      </x:c>
      <x:c r="E36" s="79" t="str">
        <x:v>NOT APPLICABLE</x:v>
      </x:c>
      <x:c r="F36" s="79" t="str">
        <x:v>NOT APPLICABLE</x:v>
      </x:c>
      <x:c r="G36" s="79" t="str">
        <x:v>NOT APPLICABLE</x:v>
      </x:c>
      <x:c r="H36" s="79" t="str">
        <x:v>AI / scanner mechanism only</x:v>
      </x:c>
      <x:c r="I36" s="79" t="str">
        <x:v>Conference paper</x:v>
      </x:c>
      <x:c r="J36" s="79" t="str">
        <x:v>Single-answer alignment creates generic responses, while steering with only 50 labeled examples can better match diverse demographic values and reduce false positives.</x:v>
      </x:c>
      <x:c r="K36" s="79" t="str">
        <x:v>A low-resource alignment result; performance depends on the chosen groups, tasks, and sparse labels.</x:v>
      </x:c>
      <x:c r="L36" s="79" t="str">
        <x:v>NOT APPLICABLE</x:v>
      </x:c>
      <x:c r="M36" s="79" t="str">
        <x:v>NOT APPLICABLE</x:v>
      </x:c>
      <x:c r="N36" s="80" t="str">
        <x:v>www.aclanthology.org/2025.findings-emnlp.1106/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61054f1afc654a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7" hidden="0" customWidth="1"/>
    <x:col min="3" max="3" width="78" hidden="0" customWidth="1"/>
    <x:col min="4" max="4" width="70" hidden="0" customWidth="1"/>
    <x:col min="6" max="6" width="31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  <x:col min="11" max="11" width="31" hidden="0" customWidth="1"/>
    <x:col min="12" max="12" width="31" hidden="0" customWidth="1"/>
    <x:col min="13" max="13" width="31" hidden="0" customWidth="1"/>
    <x:col min="14" max="14" width="31" hidden="0" customWidth="1"/>
    <x:col min="15" max="15" width="31" hidden="0" customWidth="1"/>
    <x:col min="16" max="16" width="31" hidden="0" customWidth="1"/>
    <x:col min="17" max="17" width="31" hidden="0" customWidth="1"/>
  </x:cols>
  <x:sheetData>
    <x:row r="1" ht="30" customHeight="1">
      <x:c r="A1" s="3" t="str">
        <x:v>Database controls, rubric, and field definitions</x:v>
      </x:c>
    </x:row>
    <x:row r="2" ht="34" customHeight="1">
      <x:c r="A2" s="6" t="str">
        <x:v>Topic set, evidence role, and premise class answer different questions. Edit controlled lists only when a genuinely new category is needed; add sources in the live database, not in the frozen set sheets.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4" ht="15" hidden="0" customHeight="1">
      <x:c r="A4" s="11" t="str">
        <x:v>Set ID</x:v>
      </x:c>
      <x:c r="B4" s="11" t="str">
        <x:v>Topic set</x:v>
      </x:c>
      <x:c r="C4" s="11" t="str">
        <x:v>Set description</x:v>
      </x:c>
      <x:c r="D4" s="11" t="str">
        <x:v>Anti-TWIST boundary</x:v>
      </x:c>
      <x:c r="F4" s="11" t="str">
        <x:v>Record status</x:v>
      </x:c>
      <x:c r="G4" s="11" t="str">
        <x:v>Premise class</x:v>
      </x:c>
      <x:c r="H4" s="11" t="str">
        <x:v>Premise position</x:v>
      </x:c>
      <x:c r="I4" s="11" t="str">
        <x:v>#MeToo relation</x:v>
      </x:c>
      <x:c r="J4" s="11" t="str">
        <x:v>Publication type</x:v>
      </x:c>
      <x:c r="K4" s="11" t="str">
        <x:v>Review status</x:v>
      </x:c>
      <x:c r="L4" s="11" t="str">
        <x:v>Full-text status</x:v>
      </x:c>
      <x:c r="M4" s="11" t="str">
        <x:v>Language</x:v>
      </x:c>
      <x:c r="N4" s="11" t="str">
        <x:v>Evidence strength</x:v>
      </x:c>
      <x:c r="O4" s="11" t="str">
        <x:v>Evidence-role category</x:v>
      </x:c>
      <x:c r="P4" s="11" t="str">
        <x:v>Authorial stance</x:v>
      </x:c>
      <x:c r="Q4" s="11" t="str">
        <x:v>Direct #MeToo source</x:v>
      </x:c>
    </x:row>
    <x:row r="5" ht="15" hidden="0" customHeight="1">
      <x:c r="A5" s="16" t="n">
        <x:v>1</x:v>
      </x:c>
      <x:c r="B5" s="16" t="str">
        <x:v>Strict outside academic evidence</x:v>
      </x:c>
      <x:c r="C5" s="16" t="str">
        <x:v>Academic texts directly rejecting standpoint-as-verdict or the strong personal-is-political/public-adjudication premise.</x:v>
      </x:c>
      <x:c r="D5" s="16" t="str">
        <x:v>Premise rejection controls even when an author self-identifies as feminist.</x:v>
      </x:c>
      <x:c r="F5" s="30" t="str">
        <x:v>Active</x:v>
      </x:c>
      <x:c r="G5" s="26" t="str">
        <x:v>OUTSIDE / EXCOMMUNICABLE</x:v>
      </x:c>
      <x:c r="H5" s="30" t="str">
        <x:v>REJECTS</x:v>
      </x:c>
      <x:c r="I5" s="26" t="str">
        <x:v>Direct #MeToo critique</x:v>
      </x:c>
      <x:c r="J5" s="30" t="str">
        <x:v>Peer-reviewed journal article</x:v>
      </x:c>
      <x:c r="K5" s="26" t="str">
        <x:v>Peer-reviewed</x:v>
      </x:c>
      <x:c r="L5" s="30" t="str">
        <x:v>Full text verified</x:v>
      </x:c>
      <x:c r="M5" s="26" t="str">
        <x:v>English</x:v>
      </x:c>
      <x:c r="N5" s="30" t="str">
        <x:v>DIRECT EXPLICIT</x:v>
      </x:c>
      <x:c r="O5" s="26" t="str">
        <x:v>DIRECT OUTSIDE CRITIQUE</x:v>
      </x:c>
      <x:c r="P5" s="30" t="str">
        <x:v>EXPLICIT CRITIQUE</x:v>
      </x:c>
      <x:c r="Q5" s="26" t="str">
        <x:v>YES</x:v>
      </x:c>
    </x:row>
    <x:row r="6" ht="24" hidden="0" customHeight="1">
      <x:c r="A6" s="16" t="n">
        <x:v>2</x:v>
      </x:c>
      <x:c r="B6" s="16" t="str">
        <x:v>Foundational public/private-boundary dissent</x:v>
      </x:c>
      <x:c r="C6" s="16" t="str">
        <x:v>Texts protecting an independently valuable private sphere while allowing public action for coercion, rights violations, institutional power, or evidenced harm.</x:v>
      </x:c>
      <x:c r="D6" s="16" t="str">
        <x:v>Protecting an independent private sphere counts as rejection of the strong personal-is-political premise.</x:v>
      </x:c>
      <x:c r="F6" s="30" t="str">
        <x:v>Provisional</x:v>
      </x:c>
      <x:c r="G6" s="26" t="str">
        <x:v>INTERNAL GORGONWARS</x:v>
      </x:c>
      <x:c r="H6" s="30" t="str">
        <x:v>RETAINS</x:v>
      </x:c>
      <x:c r="I6" s="26" t="str">
        <x:v>Direct #MeToo defense / internal reply</x:v>
      </x:c>
      <x:c r="J6" s="30" t="str">
        <x:v>Academic forum / editorial</x:v>
      </x:c>
      <x:c r="K6" s="26" t="str">
        <x:v>Academic forum / editorial</x:v>
      </x:c>
      <x:c r="L6" s="30" t="str">
        <x:v>Source record verified</x:v>
      </x:c>
      <x:c r="M6" s="26" t="str">
        <x:v>Spanish</x:v>
      </x:c>
      <x:c r="N6" s="30" t="str">
        <x:v>DIRECT ENTAILMENT</x:v>
      </x:c>
      <x:c r="O6" s="26" t="str">
        <x:v>INTERNAL IMMANENT CRITIQUE</x:v>
      </x:c>
      <x:c r="P6" s="30" t="str">
        <x:v>MIXED / QUALIFIED CRITIQUE</x:v>
      </x:c>
      <x:c r="Q6" s="26" t="str">
        <x:v>NO</x:v>
      </x:c>
    </x:row>
    <x:row r="7" ht="15" hidden="0" customHeight="1">
      <x:c r="A7" s="16" t="n">
        <x:v>3</x:v>
      </x:c>
      <x:c r="B7" s="16" t="str">
        <x:v>PIP-retaining public/private reconstruction and internal control</x:v>
      </x:c>
      <x:c r="C7" s="16" t="str">
        <x:v>Texts retaining collective politicization of personal experience while adding privacy, context, or procedural controls.</x:v>
      </x:c>
      <x:c r="D7" s="16" t="str">
        <x:v>Privacy reconstruction after politicization remains inside only when both premises are retained.</x:v>
      </x:c>
      <x:c r="F7" s="30" t="str">
        <x:v>Needs full text</x:v>
      </x:c>
      <x:c r="G7" s="26" t="str">
        <x:v>PREMISES UNRESOLVED</x:v>
      </x:c>
      <x:c r="H7" s="30" t="str">
        <x:v>RETAINS WITH QUALIFICATION</x:v>
      </x:c>
      <x:c r="I7" s="26" t="str">
        <x:v>Movement-adjacent</x:v>
      </x:c>
      <x:c r="J7" s="30" t="str">
        <x:v>Law review article</x:v>
      </x:c>
      <x:c r="K7" s="26" t="str">
        <x:v>Law review / editorial review</x:v>
      </x:c>
      <x:c r="L7" s="30" t="str">
        <x:v>Abstract only</x:v>
      </x:c>
      <x:c r="M7" s="26" t="str">
        <x:v>French</x:v>
      </x:c>
      <x:c r="N7" s="30" t="str">
        <x:v>SYSTEM INFERENCE</x:v>
      </x:c>
      <x:c r="O7" s="26" t="str">
        <x:v>DEFENSE / INTERNAL REPLY</x:v>
      </x:c>
      <x:c r="P7" s="30" t="str">
        <x:v>DEFENSE</x:v>
      </x:c>
      <x:c r="Q7" s="26" t="str">
        <x:v>ADJACENT</x:v>
      </x:c>
    </x:row>
    <x:row r="8" ht="24" hidden="0" customHeight="1">
      <x:c r="A8" s="16" t="n">
        <x:v>4</x:v>
      </x:c>
      <x:c r="B8" s="16" t="str">
        <x:v>Testimony, belief, and epistemic authority</x:v>
      </x:c>
      <x:c r="C8" s="16" t="str">
        <x:v>Texts debating whether evidence, identity, survivor status, social bias, listening, or standpoint should govern credibility.</x:v>
      </x:c>
      <x:c r="D8" s="16" t="str">
        <x:v>Equal hearing, corrective trust, commanded belief, and epistemic veto remain distinct.</x:v>
      </x:c>
      <x:c r="F8" s="30" t="str">
        <x:v>Needs screening</x:v>
      </x:c>
      <x:c r="G8" s="26" t="str">
        <x:v>NOT APPLICABLE</x:v>
      </x:c>
      <x:c r="H8" s="30" t="str">
        <x:v>MIXED / CONTRADICTORY</x:v>
      </x:c>
      <x:c r="I8" s="26" t="str">
        <x:v>Foundational antecedent</x:v>
      </x:c>
      <x:c r="J8" s="30" t="str">
        <x:v>Book chapter</x:v>
      </x:c>
      <x:c r="K8" s="26" t="str">
        <x:v>Conference review</x:v>
      </x:c>
      <x:c r="L8" s="30" t="str">
        <x:v>Partial / target-text gap</x:v>
      </x:c>
      <x:c r="M8" s="26" t="str">
        <x:v>Italian</x:v>
      </x:c>
      <x:c r="N8" s="30" t="str">
        <x:v>ABSTRACT ONLY</x:v>
      </x:c>
      <x:c r="O8" s="26" t="str">
        <x:v>COUNTEREVIDENCE</x:v>
      </x:c>
      <x:c r="P8" s="30" t="str">
        <x:v>REPORTS OTHERS' CRITICISM</x:v>
      </x:c>
    </x:row>
    <x:row r="9" ht="24" hidden="0" customHeight="1">
      <x:c r="A9" s="16" t="n">
        <x:v>5</x:v>
      </x:c>
      <x:c r="B9" s="16" t="str">
        <x:v>Desire, agency, and sexual ambiguity</x:v>
      </x:c>
      <x:c r="C9" s="16" t="str">
        <x:v>Texts on pleasure, consent, mixed motives, relational meaning, agency, degradation, and sexual category compression.</x:v>
      </x:c>
      <x:c r="D9" s="16" t="str">
        <x:v>Agency or ambiguity criticism alone settles neither premise.</x:v>
      </x:c>
      <x:c r="F9" s="30" t="str">
        <x:v>Excluded</x:v>
      </x:c>
      <x:c r="H9" s="30" t="str">
        <x:v>NO EVIDENCE</x:v>
      </x:c>
      <x:c r="I9" s="26" t="str">
        <x:v>Empirical consequence study</x:v>
      </x:c>
      <x:c r="J9" s="30" t="str">
        <x:v>Conference paper</x:v>
      </x:c>
      <x:c r="K9" s="26" t="str">
        <x:v>Working paper / preprint</x:v>
      </x:c>
      <x:c r="L9" s="30" t="str">
        <x:v>Secondary verification</x:v>
      </x:c>
      <x:c r="M9" s="26" t="str">
        <x:v>Other</x:v>
      </x:c>
      <x:c r="N9" s="30" t="str">
        <x:v>SECONDARY REPORT</x:v>
      </x:c>
      <x:c r="O9" s="26" t="str">
        <x:v>RECEPTION REPORT</x:v>
      </x:c>
      <x:c r="P9" s="30" t="str">
        <x:v>NEUTRAL EMPIRICAL</x:v>
      </x:c>
    </x:row>
    <x:row r="10" ht="24" hidden="0" customHeight="1">
      <x:c r="A10" s="16" t="n">
        <x:v>6</x:v>
      </x:c>
      <x:c r="B10" s="16" t="str">
        <x:v>Due process, punishment, and procedural limits</x:v>
      </x:c>
      <x:c r="C10" s="16" t="str">
        <x:v>Texts distinguishing accusation, investigation, publicity, employment sanctions, criminal conviction, proportionality, and carceral alternatives.</x:v>
      </x:c>
      <x:c r="D10" s="16" t="str">
        <x:v>Procedure and anti-carcerality alone settle neither premise.</x:v>
      </x:c>
      <x:c r="F10" s="30" t="str">
        <x:v>Duplicate</x:v>
      </x:c>
      <x:c r="H10" s="30" t="str">
        <x:v>NOT APPLICABLE</x:v>
      </x:c>
      <x:c r="I10" s="26" t="str">
        <x:v>Public intervention</x:v>
      </x:c>
      <x:c r="J10" s="30" t="str">
        <x:v>Working paper / preprint</x:v>
      </x:c>
      <x:c r="K10" s="26" t="str">
        <x:v>Institutional publication</x:v>
      </x:c>
      <x:c r="L10" s="30" t="str">
        <x:v>Not checked</x:v>
      </x:c>
      <x:c r="N10" s="30" t="str">
        <x:v>UNVERIFIED</x:v>
      </x:c>
      <x:c r="O10" s="26" t="str">
        <x:v>FOUNDATIONAL ANTECEDENT</x:v>
      </x:c>
      <x:c r="P10" s="30" t="str">
        <x:v>MECHANISM / ADJACENT</x:v>
      </x:c>
    </x:row>
    <x:row r="11" ht="24" hidden="0" customHeight="1">
      <x:c r="A11" s="16" t="n">
        <x:v>7</x:v>
      </x:c>
      <x:c r="B11" s="16" t="str">
        <x:v>Workplace and institutional consequences</x:v>
      </x:c>
      <x:c r="C11" s="16" t="str">
        <x:v>Empirical and practical work on reporting, mentoring, homophily, reputation, worker movement, representation, and media portrayal.</x:v>
      </x:c>
      <x:c r="D11" s="16" t="str">
        <x:v>Effects evidence supports a cost or benefit ledger and settles neither premise.</x:v>
      </x:c>
      <x:c r="F11" s="30" t="str">
        <x:v>Superseded</x:v>
      </x:c>
      <x:c r="I11" s="26" t="str">
        <x:v>Reception only</x:v>
      </x:c>
      <x:c r="J11" s="30" t="str">
        <x:v>Institutional document</x:v>
      </x:c>
      <x:c r="K11" s="26" t="str">
        <x:v>Nonacademic</x:v>
      </x:c>
      <x:c r="N11" s="30" t="str">
        <x:v>NO EVIDENCE</x:v>
      </x:c>
      <x:c r="O11" s="26" t="str">
        <x:v>SCANNER MECHANISM</x:v>
      </x:c>
      <x:c r="P11" s="30" t="str">
        <x:v>UNCLEAR</x:v>
      </x:c>
    </x:row>
    <x:row r="12" ht="15" hidden="0" customHeight="1">
      <x:c r="A12" s="16" t="n">
        <x:v>8</x:v>
      </x:c>
      <x:c r="B12" s="16" t="str">
        <x:v>Nonacademic outside and reception evidence</x:v>
      </x:c>
      <x:c r="C12" s="16" t="str">
        <x:v>Public interventions stating outside arguments plus records of rebuttal, clarification, and functional boundary policing.</x:v>
      </x:c>
      <x:c r="D12" s="16" t="str">
        <x:v>Reception evidence records boundary policing rather than the reporter's premise position.</x:v>
      </x:c>
      <x:c r="I12" s="26" t="str">
        <x:v>AI / scanner mechanism only</x:v>
      </x:c>
      <x:c r="J12" s="30" t="str">
        <x:v>Newspaper / opinion</x:v>
      </x:c>
      <x:c r="K12" s="26" t="str">
        <x:v>Unresolved</x:v>
      </x:c>
      <x:c r="N12" s="30" t="str">
        <x:v>NOT APPLICABLE</x:v>
      </x:c>
      <x:c r="O12" s="26" t="str">
        <x:v>METHODOLOGICAL CORRECTIVE</x:v>
      </x:c>
    </x:row>
    <x:row r="13" ht="24" hidden="0" customHeight="1">
      <x:c r="A13" s="16" t="n">
        <x:v>9</x:v>
      </x:c>
      <x:c r="B13" s="16" t="str">
        <x:v>AI ethics, scanner mechanisms, and pluralistic correctives</x:v>
      </x:c>
      <x:c r="C13" s="16" t="str">
        <x:v>Research on problem formulation, proxies, annotation, aggregation, ranking, moderation, RLHF, evaluator bias, and pluralistic alignment.</x:v>
      </x:c>
      <x:c r="D13" s="16" t="str">
        <x:v>AI research establishes mechanisms and correctives rather than a model-specific hidden cause.</x:v>
      </x:c>
      <x:c r="J13" s="30" t="str">
        <x:v>Press report</x:v>
      </x:c>
      <x:c r="O13" s="26" t="str">
        <x:v>ADJACENT CONTEXT</x:v>
      </x:c>
    </x:row>
    <x:row r="14" ht="15" hidden="0" customHeight="1">
      <x:c r="J14" s="30" t="str">
        <x:v>Other</x:v>
      </x:c>
    </x:row>
    <x:row r="15"/>
    <x:row r="16" ht="15" hidden="0" customHeight="1">
      <x:c r="A16" s="11" t="str">
        <x:v>Database field</x:v>
      </x:c>
      <x:c r="B16" s="11" t="str">
        <x:v>Entry type</x:v>
      </x:c>
      <x:c r="C16" s="11" t="str">
        <x:v>Meaning</x:v>
      </x:c>
    </x:row>
    <x:row r="17" ht="15" hidden="0" customHeight="1">
      <x:c r="A17" s="16" t="str">
        <x:v>Source ID</x:v>
      </x:c>
      <x:c r="B17" s="16" t="str">
        <x:v>Input</x:v>
      </x:c>
      <x:c r="C17" s="16" t="str">
        <x:v>Stable local identifier for this research ledger.</x:v>
      </x:c>
    </x:row>
    <x:row r="18" ht="15" hidden="0" customHeight="1">
      <x:c r="A18" s="17" t="str">
        <x:v>Record status</x:v>
      </x:c>
      <x:c r="B18" s="17" t="str">
        <x:v>Dropdown</x:v>
      </x:c>
      <x:c r="C18" s="17" t="str">
        <x:v>Research-workflow status such as active, provisional, or needs full text.</x:v>
      </x:c>
    </x:row>
    <x:row r="19" ht="15" hidden="0" customHeight="1">
      <x:c r="A19" s="16" t="str">
        <x:v>Set ID</x:v>
      </x:c>
      <x:c r="B19" s="16" t="str">
        <x:v>Dropdown</x:v>
      </x:c>
      <x:c r="C19" s="16" t="str">
        <x:v>Topical evidence set only.</x:v>
      </x:c>
    </x:row>
    <x:row r="20" ht="15" hidden="0" customHeight="1">
      <x:c r="A20" s="17" t="str">
        <x:v>Set name</x:v>
      </x:c>
      <x:c r="B20" s="17" t="str">
        <x:v>Formula</x:v>
      </x:c>
      <x:c r="C20" s="17" t="str">
        <x:v>Retrieved from Set ID so the two fields remain synchronized.</x:v>
      </x:c>
    </x:row>
    <x:row r="21" ht="15" hidden="0" customHeight="1">
      <x:c r="A21" s="16" t="str">
        <x:v>Premise class final</x:v>
      </x:c>
      <x:c r="B21" s="16" t="str">
        <x:v>Dropdown</x:v>
      </x:c>
      <x:c r="C21" s="16" t="str">
        <x:v>Current reviewed classification; never inferred from topic or evidence role.</x:v>
      </x:c>
    </x:row>
    <x:row r="22" ht="15" hidden="0" customHeight="1">
      <x:c r="A22" s="17" t="str">
        <x:v>Personal-is-political position</x:v>
      </x:c>
      <x:c r="B22" s="17" t="str">
        <x:v>Dropdown</x:v>
      </x:c>
      <x:c r="C22" s="17" t="str">
        <x:v>Rejects, retains, qualifies, or lacks evidence on generalized political adjudication of personal life.</x:v>
      </x:c>
    </x:row>
    <x:row r="23" ht="15" hidden="0" customHeight="1">
      <x:c r="A23" s="16" t="str">
        <x:v>Standpoint position</x:v>
      </x:c>
      <x:c r="B23" s="16" t="str">
        <x:v>Dropdown</x:v>
      </x:c>
      <x:c r="C23" s="16" t="str">
        <x:v>Rejects, retains, qualifies, or lacks evidence on identity-based epistemic authority.</x:v>
      </x:c>
    </x:row>
    <x:row r="24" ht="24" hidden="0" customHeight="1">
      <x:c r="A24" s="17" t="str">
        <x:v>Premise class auto</x:v>
      </x:c>
      <x:c r="B24" s="17" t="str">
        <x:v>Formula</x:v>
      </x:c>
      <x:c r="C24" s="17" t="str">
        <x:v>Outside when either premise is rejected; internal when both are retained or qualified; otherwise unresolved or not applicable.</x:v>
      </x:c>
    </x:row>
    <x:row r="25" ht="15" hidden="0" customHeight="1">
      <x:c r="A25" s="16" t="str">
        <x:v>Classification check</x:v>
      </x:c>
      <x:c r="B25" s="16" t="str">
        <x:v>Formula</x:v>
      </x:c>
      <x:c r="C25" s="16" t="str">
        <x:v>Flags disagreement between final and automatic classifications unless an override reason is recorded.</x:v>
      </x:c>
    </x:row>
    <x:row r="26" ht="15" hidden="0" customHeight="1">
      <x:c r="A26" s="17" t="str">
        <x:v>Evidence role description</x:v>
      </x:c>
      <x:c r="B26" s="17" t="str">
        <x:v>Input</x:v>
      </x:c>
      <x:c r="C26" s="17" t="str">
        <x:v>Source-specific explanation of what this item contributes.</x:v>
      </x:c>
    </x:row>
    <x:row r="27" ht="15" hidden="0" customHeight="1">
      <x:c r="A27" s="16" t="str">
        <x:v>#MeToo relation</x:v>
      </x:c>
      <x:c r="B27" s="16" t="str">
        <x:v>Dropdown</x:v>
      </x:c>
      <x:c r="C27" s="16" t="str">
        <x:v>Direct critique, defense, antecedent, consequence study, reception, or scanner mechanism.</x:v>
      </x:c>
    </x:row>
    <x:row r="28" ht="15" hidden="0" customHeight="1">
      <x:c r="A28" s="17" t="str">
        <x:v>Publication type</x:v>
      </x:c>
      <x:c r="B28" s="17" t="str">
        <x:v>Dropdown</x:v>
      </x:c>
      <x:c r="C28" s="17" t="str">
        <x:v>Article, chapter, conference paper, working paper, institutional text, or public writing.</x:v>
      </x:c>
    </x:row>
    <x:row r="29" ht="15" hidden="0" customHeight="1">
      <x:c r="A29" s="16" t="str">
        <x:v>Review status</x:v>
      </x:c>
      <x:c r="B29" s="16" t="str">
        <x:v>Dropdown</x:v>
      </x:c>
      <x:c r="C29" s="16" t="str">
        <x:v>Peer-review or publication-control status.</x:v>
      </x:c>
    </x:row>
    <x:row r="30" ht="15" hidden="0" customHeight="1">
      <x:c r="A30" s="17" t="str">
        <x:v>Year</x:v>
      </x:c>
      <x:c r="B30" s="17" t="str">
        <x:v>Input</x:v>
      </x:c>
      <x:c r="C30" s="17" t="str">
        <x:v>Publication year as a number.</x:v>
      </x:c>
    </x:row>
    <x:row r="31" ht="15" hidden="0" customHeight="1">
      <x:c r="A31" s="16" t="str">
        <x:v>Authors</x:v>
      </x:c>
      <x:c r="B31" s="16" t="str">
        <x:v>Input</x:v>
      </x:c>
      <x:c r="C31" s="16" t="str">
        <x:v>Complete author or institutional-author field.</x:v>
      </x:c>
    </x:row>
    <x:row r="32" ht="15" hidden="0" customHeight="1">
      <x:c r="A32" s="17" t="str">
        <x:v>Title</x:v>
      </x:c>
      <x:c r="B32" s="17" t="str">
        <x:v>Input</x:v>
      </x:c>
      <x:c r="C32" s="17" t="str">
        <x:v>Exact source title.</x:v>
      </x:c>
    </x:row>
    <x:row r="33" ht="15" hidden="0" customHeight="1">
      <x:c r="A33" s="16" t="str">
        <x:v>Venue</x:v>
      </x:c>
      <x:c r="B33" s="16" t="str">
        <x:v>Input</x:v>
      </x:c>
      <x:c r="C33" s="16" t="str">
        <x:v>Journal, publisher, conference, institution, or outlet.</x:v>
      </x:c>
    </x:row>
    <x:row r="34" ht="15" hidden="0" customHeight="1">
      <x:c r="A34" s="17" t="str">
        <x:v>Language</x:v>
      </x:c>
      <x:c r="B34" s="17" t="str">
        <x:v>Dropdown</x:v>
      </x:c>
      <x:c r="C34" s="17" t="str">
        <x:v>Language of the source.</x:v>
      </x:c>
    </x:row>
    <x:row r="35" ht="15" hidden="0" customHeight="1">
      <x:c r="A35" s="16" t="str">
        <x:v>One-line ironman thesis</x:v>
      </x:c>
      <x:c r="B35" s="16" t="str">
        <x:v>Input</x:v>
      </x:c>
      <x:c r="C35" s="16" t="str">
        <x:v>Strongest fair one-sentence statement of the source's own thesis.</x:v>
      </x:c>
    </x:row>
    <x:row r="36" ht="15" hidden="0" customHeight="1">
      <x:c r="A36" s="17" t="str">
        <x:v>Evidence limit</x:v>
      </x:c>
      <x:c r="B36" s="17" t="str">
        <x:v>Input</x:v>
      </x:c>
      <x:c r="C36" s="17" t="str">
        <x:v>The narrowest guardrail preventing the source from proving more than it supports.</x:v>
      </x:c>
    </x:row>
    <x:row r="37" ht="15" hidden="0" customHeight="1">
      <x:c r="A37" s="16" t="str">
        <x:v>Full-text status</x:v>
      </x:c>
      <x:c r="B37" s="16" t="str">
        <x:v>Dropdown</x:v>
      </x:c>
      <x:c r="C37" s="16" t="str">
        <x:v>Current verification depth.</x:v>
      </x:c>
    </x:row>
    <x:row r="38" ht="15" hidden="0" customHeight="1">
      <x:c r="A38" s="17" t="str">
        <x:v>Primary URL</x:v>
      </x:c>
      <x:c r="B38" s="17" t="str">
        <x:v>Input</x:v>
      </x:c>
      <x:c r="C38" s="17" t="str">
        <x:v>Plain-text source address.</x:v>
      </x:c>
    </x:row>
    <x:row r="39" ht="15" hidden="0" customHeight="1">
      <x:c r="A39" s="16" t="str">
        <x:v>DOI / stable ID</x:v>
      </x:c>
      <x:c r="B39" s="16" t="str">
        <x:v>Input</x:v>
      </x:c>
      <x:c r="C39" s="16" t="str">
        <x:v>DOI, ACL ID, arXiv ID, or another stable identifier.</x:v>
      </x:c>
    </x:row>
    <x:row r="40" ht="15" hidden="0" customHeight="1">
      <x:c r="A40" s="17" t="str">
        <x:v>Added date</x:v>
      </x:c>
      <x:c r="B40" s="17" t="str">
        <x:v>Date</x:v>
      </x:c>
      <x:c r="C40" s="17" t="str">
        <x:v>Date the record entered this database.</x:v>
      </x:c>
    </x:row>
    <x:row r="41" ht="15" hidden="0" customHeight="1">
      <x:c r="A41" s="16" t="str">
        <x:v>Last verified</x:v>
      </x:c>
      <x:c r="B41" s="16" t="str">
        <x:v>Date</x:v>
      </x:c>
      <x:c r="C41" s="16" t="str">
        <x:v>Most recent metadata or full-text verification date.</x:v>
      </x:c>
    </x:row>
    <x:row r="42" ht="15" hidden="0" customHeight="1">
      <x:c r="A42" s="17" t="str">
        <x:v>Notes</x:v>
      </x:c>
      <x:c r="B42" s="17" t="str">
        <x:v>Input</x:v>
      </x:c>
      <x:c r="C42" s="17" t="str">
        <x:v>Free research notes.</x:v>
      </x:c>
    </x:row>
    <x:row r="43" ht="15" hidden="0" customHeight="1">
      <x:c r="A43" s="16" t="str">
        <x:v>Duplicate / related source</x:v>
      </x:c>
      <x:c r="B43" s="16" t="str">
        <x:v>Input</x:v>
      </x:c>
      <x:c r="C43" s="16" t="str">
        <x:v>Relationship to another record without counting it twice.</x:v>
      </x:c>
    </x:row>
    <x:row r="44" ht="15" hidden="0" customHeight="1">
      <x:c r="A44" s="17" t="str">
        <x:v>Original list number</x:v>
      </x:c>
      <x:c r="B44" s="17" t="str">
        <x:v>Input</x:v>
      </x:c>
      <x:c r="C44" s="17" t="str">
        <x:v>Position in the 84-source ledger used to create this live row.</x:v>
      </x:c>
    </x:row>
    <x:row r="45" ht="15" hidden="0" customHeight="1">
      <x:c r="A45" s="16" t="str">
        <x:v>Evidence-role category</x:v>
      </x:c>
      <x:c r="B45" s="16" t="str">
        <x:v>Dropdown</x:v>
      </x:c>
      <x:c r="C45" s="16" t="str">
        <x:v>How the bibliography uses the source; separate from topic and premise class.</x:v>
      </x:c>
    </x:row>
    <x:row r="46" ht="15" hidden="0" customHeight="1">
      <x:c r="A46" s="17" t="str">
        <x:v>Authorial stance</x:v>
      </x:c>
      <x:c r="B46" s="17" t="str">
        <x:v>Dropdown</x:v>
      </x:c>
      <x:c r="C46" s="17" t="str">
        <x:v>Whether the author criticizes, qualifies, defends, reports, measures, or remains unclear.</x:v>
      </x:c>
    </x:row>
    <x:row r="47" ht="15" hidden="0" customHeight="1">
      <x:c r="A47" s="16" t="str">
        <x:v>Direct #MeToo source</x:v>
      </x:c>
      <x:c r="B47" s="16" t="str">
        <x:v>Dropdown</x:v>
      </x:c>
      <x:c r="C47" s="16" t="str">
        <x:v>Whether the source itself directly addresses #MeToo, is adjacent, or does not.</x:v>
      </x:c>
    </x:row>
    <x:row r="48" ht="15" hidden="0" customHeight="1">
      <x:c r="A48" s="17" t="str">
        <x:v>Critique target</x:v>
      </x:c>
      <x:c r="B48" s="17" t="str">
        <x:v>Input</x:v>
      </x:c>
      <x:c r="C48" s="17" t="str">
        <x:v>The concrete practice, inference, institution, or scanner mechanism being challenged.</x:v>
      </x:c>
    </x:row>
    <x:row r="49" ht="15" hidden="0" customHeight="1">
      <x:c r="A49" s="16" t="str">
        <x:v>PIP evidence strength</x:v>
      </x:c>
      <x:c r="B49" s="16" t="str">
        <x:v>Dropdown</x:v>
      </x:c>
      <x:c r="C49" s="16" t="str">
        <x:v>Strength of the evidence supporting the PIP position.</x:v>
      </x:c>
    </x:row>
    <x:row r="50" ht="15" hidden="0" customHeight="1">
      <x:c r="A50" s="17" t="str">
        <x:v>PIP evidence statement</x:v>
      </x:c>
      <x:c r="B50" s="17" t="str">
        <x:v>Input</x:v>
      </x:c>
      <x:c r="C50" s="17" t="str">
        <x:v>Quote or explicitly labeled paraphrase establishing the PIP position.</x:v>
      </x:c>
    </x:row>
    <x:row r="51" ht="15" hidden="0" customHeight="1">
      <x:c r="A51" s="16" t="str">
        <x:v>PIP page / section</x:v>
      </x:c>
      <x:c r="B51" s="16" t="str">
        <x:v>Input</x:v>
      </x:c>
      <x:c r="C51" s="16" t="str">
        <x:v>Exact page, section, paragraph, or timestamp for the PIP evidence.</x:v>
      </x:c>
    </x:row>
    <x:row r="52" ht="15" hidden="0" customHeight="1">
      <x:c r="A52" s="17" t="str">
        <x:v>PIP evidence URL</x:v>
      </x:c>
      <x:c r="B52" s="17" t="str">
        <x:v>Input</x:v>
      </x:c>
      <x:c r="C52" s="17" t="str">
        <x:v>Direct URL supporting the PIP position.</x:v>
      </x:c>
    </x:row>
    <x:row r="53" ht="15" hidden="0" customHeight="1">
      <x:c r="A53" s="16" t="str">
        <x:v>Standpoint evidence strength</x:v>
      </x:c>
      <x:c r="B53" s="16" t="str">
        <x:v>Dropdown</x:v>
      </x:c>
      <x:c r="C53" s="16" t="str">
        <x:v>Strength of the evidence supporting the standpoint position.</x:v>
      </x:c>
    </x:row>
    <x:row r="54" ht="15" hidden="0" customHeight="1">
      <x:c r="A54" s="17" t="str">
        <x:v>Standpoint evidence statement</x:v>
      </x:c>
      <x:c r="B54" s="17" t="str">
        <x:v>Input</x:v>
      </x:c>
      <x:c r="C54" s="17" t="str">
        <x:v>Quote or explicitly labeled paraphrase establishing the standpoint position.</x:v>
      </x:c>
    </x:row>
    <x:row r="55" ht="15" hidden="0" customHeight="1">
      <x:c r="A55" s="16" t="str">
        <x:v>Standpoint page / section</x:v>
      </x:c>
      <x:c r="B55" s="16" t="str">
        <x:v>Input</x:v>
      </x:c>
      <x:c r="C55" s="16" t="str">
        <x:v>Exact page, section, paragraph, or timestamp for the standpoint evidence.</x:v>
      </x:c>
    </x:row>
    <x:row r="56" ht="15" hidden="0" customHeight="1">
      <x:c r="A56" s="17" t="str">
        <x:v>Standpoint evidence URL</x:v>
      </x:c>
      <x:c r="B56" s="17" t="str">
        <x:v>Input</x:v>
      </x:c>
      <x:c r="C56" s="17" t="str">
        <x:v>Direct URL supporting the standpoint position.</x:v>
      </x:c>
    </x:row>
    <x:row r="57" ht="15" hidden="0" customHeight="1">
      <x:c r="A57" s="16" t="str">
        <x:v>Override reason</x:v>
      </x:c>
      <x:c r="B57" s="16" t="str">
        <x:v>Input</x:v>
      </x:c>
      <x:c r="C57" s="16" t="str">
        <x:v>Required when final classification intentionally differs from the automatic rubric.</x:v>
      </x:c>
    </x:row>
    <x:row r="58" ht="15" hidden="0" customHeight="1">
      <x:c r="A58" s="17" t="str">
        <x:v>Reviewer</x:v>
      </x:c>
      <x:c r="B58" s="17" t="str">
        <x:v>Input</x:v>
      </x:c>
      <x:c r="C58" s="17" t="str">
        <x:v>Person or research pass responsible for the current classification.</x:v>
      </x:c>
    </x:row>
    <x:row r="59" ht="15" hidden="0" customHeight="1">
      <x:c r="A59" s="16" t="str">
        <x:v>Rubric version</x:v>
      </x:c>
      <x:c r="B59" s="16" t="str">
        <x:v>Input</x:v>
      </x:c>
      <x:c r="C59" s="16" t="str">
        <x:v>Version of the premise definitions used for the judgment.</x:v>
      </x:c>
    </x:row>
    <x:row r="60" ht="15" hidden="0" customHeight="1">
      <x:c r="A60" s="17" t="str">
        <x:v>Alternate URL</x:v>
      </x:c>
      <x:c r="B60" s="17" t="str">
        <x:v>Input</x:v>
      </x:c>
      <x:c r="C60" s="17" t="str">
        <x:v>Repository, archived, translated, or alternate stable link.</x:v>
      </x:c>
    </x:row>
    <x:row r="61" ht="15" hidden="0" customHeight="1">
      <x:c r="A61" s="16" t="str">
        <x:v>Evidence completeness</x:v>
      </x:c>
      <x:c r="B61" s="16" t="str">
        <x:v>Formula</x:v>
      </x:c>
      <x:c r="C61" s="16" t="str">
        <x:v>Flags classified records lacking adequate premise evidence or an exact locator.</x:v>
      </x:c>
    </x:row>
    <x:row r="62" ht="15" hidden="0" customHeight="1">
      <x:c r="A62" s="17" t="str">
        <x:v>Change note</x:v>
      </x:c>
      <x:c r="B62" s="17" t="str">
        <x:v>Input</x:v>
      </x:c>
      <x:c r="C62" s="17" t="str">
        <x:v>Short note describing a material edit; classification changes also belong in the change log.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9" hidden="0" customWidth="1"/>
    <x:col min="4" max="4" width="38" hidden="0" customWidth="1"/>
    <x:col min="5" max="5" width="29" hidden="0" customWidth="1"/>
    <x:col min="6" max="6" width="22" hidden="0" customWidth="1"/>
    <x:col min="7" max="7" width="22" hidden="0" customWidth="1"/>
    <x:col min="8" max="8" width="28" hidden="0" customWidth="1"/>
    <x:col min="9" max="9" width="20" hidden="0" customWidth="1"/>
    <x:col min="10" max="10" width="34" hidden="0" customWidth="1"/>
    <x:col min="11" max="11" width="28" hidden="0" customWidth="1"/>
    <x:col min="12" max="12" width="28" hidden="0" customWidth="1"/>
    <x:col min="13" max="13" width="25" hidden="0" customWidth="1"/>
    <x:col min="14" max="14" width="9" hidden="0" customWidth="1"/>
    <x:col min="15" max="15" width="34" hidden="0" customWidth="1"/>
    <x:col min="16" max="16" width="48" hidden="0" customWidth="1"/>
    <x:col min="17" max="17" width="32" hidden="0" customWidth="1"/>
    <x:col min="18" max="18" width="13" hidden="0" customWidth="1"/>
    <x:col min="19" max="19" width="76" hidden="0" customWidth="1"/>
    <x:col min="20" max="20" width="58" hidden="0" customWidth="1"/>
    <x:col min="21" max="21" width="24" hidden="0" customWidth="1"/>
    <x:col min="22" max="22" width="58" hidden="0" customWidth="1"/>
    <x:col min="23" max="23" width="30" hidden="0" customWidth="1"/>
    <x:col min="24" max="24" width="13" hidden="0" customWidth="1"/>
    <x:col min="25" max="25" width="13" hidden="0" customWidth="1"/>
    <x:col min="26" max="26" width="40" hidden="0" customWidth="1"/>
    <x:col min="27" max="27" width="38" hidden="0" customWidth="1"/>
    <x:col min="28" max="28" width="13" hidden="0" customWidth="1"/>
    <x:col min="29" max="29" width="29" hidden="0" customWidth="1"/>
    <x:col min="30" max="30" width="28" hidden="0" customWidth="1"/>
    <x:col min="31" max="31" width="18" hidden="0" customWidth="1"/>
    <x:col min="32" max="32" width="48" hidden="0" customWidth="1"/>
    <x:col min="33" max="33" width="22" hidden="0" customWidth="1"/>
    <x:col min="34" max="34" width="66" hidden="0" customWidth="1"/>
    <x:col min="35" max="35" width="30" hidden="0" customWidth="1"/>
    <x:col min="36" max="36" width="54" hidden="0" customWidth="1"/>
    <x:col min="37" max="37" width="22" hidden="0" customWidth="1"/>
    <x:col min="38" max="38" width="66" hidden="0" customWidth="1"/>
    <x:col min="39" max="39" width="30" hidden="0" customWidth="1"/>
    <x:col min="40" max="40" width="54" hidden="0" customWidth="1"/>
    <x:col min="41" max="41" width="52" hidden="0" customWidth="1"/>
    <x:col min="42" max="42" width="19" hidden="0" customWidth="1"/>
    <x:col min="43" max="43" width="25" hidden="0" customWidth="1"/>
    <x:col min="44" max="44" width="52" hidden="0" customWidth="1"/>
    <x:col min="45" max="45" width="22" hidden="0" customWidth="1"/>
    <x:col min="46" max="46" width="44" hidden="0" customWidth="1"/>
  </x:cols>
  <x:sheetData>
    <x:row r="1" ht="30" customHeight="1">
      <x:c r="A1" s="3" t="str">
        <x:v>Editable #MeToo critique source database</x:v>
      </x:c>
    </x:row>
    <x:row r="2" ht="34" customHeight="1">
      <x:c r="A2" s="7" t="str">
        <x:v>Enter each new source on the first blank row. Every research component has its own column. Dropdowns and premise-derived checks are prepared through row 1000; append change-log entries whenever a reviewed classification changes.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</x:row>
    <x:row r="3" ht="30" customHeight="1">
      <x:c r="A3" s="35" t="str">
        <x:v>Populated sources</x:v>
      </x:c>
      <x:c r="B3" s="37" t="n">
        <x:f>COUNTA(P6:P196)</x:f>
        <x:v>166</x:v>
      </x:c>
      <x:c r="C3" s="35" t="str">
        <x:v>Final outside</x:v>
      </x:c>
      <x:c r="D3" s="37" t="n">
        <x:f>COUNTIF(E6:E196,"OUTSIDE / EXCOMMUNICABLE")</x:f>
        <x:v>77</x:v>
      </x:c>
      <x:c r="E3" s="35" t="str">
        <x:v>Final internal</x:v>
      </x:c>
      <x:c r="F3" s="37" t="n">
        <x:f>COUNTIF(E6:E196,"INTERNAL GORGONWARS")</x:f>
        <x:v>16</x:v>
      </x:c>
      <x:c r="G3" s="35" t="str">
        <x:v>Final unresolved</x:v>
      </x:c>
      <x:c r="H3" s="37" t="n">
        <x:f>COUNTIF(E6:E196,"PREMISES UNRESOLVED")</x:f>
        <x:v>41</x:v>
      </x:c>
      <x:c r="I3" s="35" t="str">
        <x:v>Not applicable</x:v>
      </x:c>
      <x:c r="J3" s="37" t="n">
        <x:f>COUNTIF(E6:E196,"NOT APPLICABLE")</x:f>
        <x:v>32</x:v>
      </x:c>
      <x:c r="K3" s="35" t="str">
        <x:v>Review flags</x:v>
      </x:c>
      <x:c r="L3" s="37" t="n">
        <x:f>COUNTIF(I6:I196,"REVIEW")</x:f>
        <x:v>5</x:v>
      </x:c>
      <x:c r="M3" s="35" t="str">
        <x:v>Evidence debts</x:v>
      </x:c>
      <x:c r="N3" s="37" t="n">
        <x:f>COUNTIF(AS6:AS196,"EVIDENCE DEBT")</x:f>
        <x:v>47</x:v>
      </x:c>
    </x:row>
    <x:row r="4" ht="30" customHeight="1">
      <x:c r="A4" s="41" t="str">
        <x:v>Fixed rubric: rejection of either premise → OUTSIDE; demonstrable retention or qualified retention of both → INTERNAL; both not applicable → NOT APPLICABLE; every other combination → UNRESOLVED. Topic set and evidence role never determine premise class.</x:v>
      </x:c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  <x:c r="AC4" s="41"/>
      <x:c r="AD4" s="41"/>
      <x:c r="AE4" s="41"/>
      <x:c r="AF4" s="41"/>
      <x:c r="AG4" s="41"/>
      <x:c r="AH4" s="41"/>
      <x:c r="AI4" s="41"/>
      <x:c r="AJ4" s="41"/>
      <x:c r="AK4" s="41"/>
      <x:c r="AL4" s="41"/>
      <x:c r="AM4" s="41"/>
      <x:c r="AN4" s="41"/>
      <x:c r="AO4" s="41"/>
      <x:c r="AP4" s="41"/>
      <x:c r="AQ4" s="41"/>
      <x:c r="AR4" s="41"/>
      <x:c r="AS4" s="41"/>
      <x:c r="AT4" s="41"/>
    </x:row>
    <x:row r="5" ht="38" customHeight="1">
      <x:c r="A5" s="11" t="str">
        <x:v>Source ID</x:v>
      </x:c>
      <x:c r="B5" s="11" t="str">
        <x:v>Record status</x:v>
      </x:c>
      <x:c r="C5" s="11" t="str">
        <x:v>Set ID</x:v>
      </x:c>
      <x:c r="D5" s="11" t="str">
        <x:v>Set name (formula)</x:v>
      </x:c>
      <x:c r="E5" s="11" t="str">
        <x:v>Premise class final</x:v>
      </x:c>
      <x:c r="F5" s="11" t="str">
        <x:v>Personal-is-political position</x:v>
      </x:c>
      <x:c r="G5" s="11" t="str">
        <x:v>Standpoint position</x:v>
      </x:c>
      <x:c r="H5" s="11" t="str">
        <x:v>Premise class auto (formula)</x:v>
      </x:c>
      <x:c r="I5" s="11" t="str">
        <x:v>Classification check (formula)</x:v>
      </x:c>
      <x:c r="J5" s="11" t="str">
        <x:v>Evidence role description</x:v>
      </x:c>
      <x:c r="K5" s="11" t="str">
        <x:v>#MeToo relation</x:v>
      </x:c>
      <x:c r="L5" s="11" t="str">
        <x:v>Publication type</x:v>
      </x:c>
      <x:c r="M5" s="11" t="str">
        <x:v>Review status</x:v>
      </x:c>
      <x:c r="N5" s="11" t="str">
        <x:v>Year</x:v>
      </x:c>
      <x:c r="O5" s="11" t="str">
        <x:v>Authors</x:v>
      </x:c>
      <x:c r="P5" s="11" t="str">
        <x:v>Title</x:v>
      </x:c>
      <x:c r="Q5" s="11" t="str">
        <x:v>Venue</x:v>
      </x:c>
      <x:c r="R5" s="11" t="str">
        <x:v>Language</x:v>
      </x:c>
      <x:c r="S5" s="11" t="str">
        <x:v>One-line ironman thesis</x:v>
      </x:c>
      <x:c r="T5" s="11" t="str">
        <x:v>Evidence limit / anti-TWIST guardrail</x:v>
      </x:c>
      <x:c r="U5" s="11" t="str">
        <x:v>Full-text status</x:v>
      </x:c>
      <x:c r="V5" s="11" t="str">
        <x:v>Primary URL</x:v>
      </x:c>
      <x:c r="W5" s="11" t="str">
        <x:v>DOI / stable ID</x:v>
      </x:c>
      <x:c r="X5" s="11" t="str">
        <x:v>Added date</x:v>
      </x:c>
      <x:c r="Y5" s="11" t="str">
        <x:v>Last verified</x:v>
      </x:c>
      <x:c r="Z5" s="11" t="str">
        <x:v>Notes</x:v>
      </x:c>
      <x:c r="AA5" s="11" t="str">
        <x:v>Duplicate / related source</x:v>
      </x:c>
      <x:c r="AB5" s="11" t="str">
        <x:v>Original list number</x:v>
      </x:c>
      <x:c r="AC5" s="11" t="str">
        <x:v>Evidence-role category</x:v>
      </x:c>
      <x:c r="AD5" s="11" t="str">
        <x:v>Authorial stance</x:v>
      </x:c>
      <x:c r="AE5" s="11" t="str">
        <x:v>Direct #MeToo source</x:v>
      </x:c>
      <x:c r="AF5" s="11" t="str">
        <x:v>Critique target</x:v>
      </x:c>
      <x:c r="AG5" s="11" t="str">
        <x:v>PIP evidence strength</x:v>
      </x:c>
      <x:c r="AH5" s="11" t="str">
        <x:v>PIP evidence statement</x:v>
      </x:c>
      <x:c r="AI5" s="11" t="str">
        <x:v>PIP page / section</x:v>
      </x:c>
      <x:c r="AJ5" s="11" t="str">
        <x:v>PIP evidence URL</x:v>
      </x:c>
      <x:c r="AK5" s="11" t="str">
        <x:v>Standpoint evidence strength</x:v>
      </x:c>
      <x:c r="AL5" s="11" t="str">
        <x:v>Standpoint evidence statement</x:v>
      </x:c>
      <x:c r="AM5" s="11" t="str">
        <x:v>Standpoint page / section</x:v>
      </x:c>
      <x:c r="AN5" s="11" t="str">
        <x:v>Standpoint evidence URL</x:v>
      </x:c>
      <x:c r="AO5" s="11" t="str">
        <x:v>Override reason</x:v>
      </x:c>
      <x:c r="AP5" s="11" t="str">
        <x:v>Reviewer</x:v>
      </x:c>
      <x:c r="AQ5" s="11" t="str">
        <x:v>Rubric version</x:v>
      </x:c>
      <x:c r="AR5" s="11" t="str">
        <x:v>Alternate URL</x:v>
      </x:c>
      <x:c r="AS5" s="11" t="str">
        <x:v>Evidence completeness (formula)</x:v>
      </x:c>
      <x:c r="AT5" s="11" t="str">
        <x:v>Change note</x:v>
      </x:c>
    </x:row>
    <x:row r="6" ht="50" customHeight="1">
      <x:c r="A6" s="84" t="n">
        <x:v>1</x:v>
      </x:c>
      <x:c r="B6" s="70" t="str">
        <x:v>Active</x:v>
      </x:c>
      <x:c r="C6" s="88" t="n">
        <x:v>1</x:v>
      </x:c>
      <x:c r="D6" s="81" t="str">
        <x:f>IF(C6="","",IFERROR(VLOOKUP(C6,'Database controls'!$A$5:$B$20,2,FALSE),"NEW / UNCATEGORIZED"))</x:f>
        <x:v>Strict outside academic evidence</x:v>
      </x:c>
      <x:c r="E6" s="70" t="str">
        <x:v>OUTSIDE / EXCOMMUNICABLE</x:v>
      </x:c>
      <x:c r="F6" s="70" t="str">
        <x:v>NO EVIDENCE</x:v>
      </x:c>
      <x:c r="G6" s="70" t="str">
        <x:v>REJECTS</x:v>
      </x:c>
      <x:c r="H6" s="81" t="str">
        <x:f>IF(A6="","",IF(OR(F6="REJECTS",G6="REJECTS"),"OUTSIDE / EXCOMMUNICABLE",IF(AND(OR(F6="RETAINS",F6="RETAINS WITH QUALIFICATION"),OR(G6="RETAINS",G6="RETAINS WITH QUALIFICATION")),"INTERNAL GORGONWARS",IF(AND(F6="NOT APPLICABLE",G6="NOT APPLICABLE"),"NOT APPLICABLE","PREMISES UNRESOLVED"))))</x:f>
        <x:v>OUTSIDE / EXCOMMUNICABLE</x:v>
      </x:c>
      <x:c r="I6" s="81" t="str">
        <x:f>IF(A6="","",IF(E6=H6,"OK",IF(AO6&lt;&gt;"","OVERRIDDEN","REVIEW")))</x:f>
        <x:v>OK</x:v>
      </x:c>
      <x:c r="J6" s="70" t="str">
        <x:v>Direct #MeToo critique through criminal-law theory</x:v>
      </x:c>
      <x:c r="K6" s="70" t="str">
        <x:v>Direct #MeToo critique</x:v>
      </x:c>
      <x:c r="L6" s="70" t="str">
        <x:v>Peer-reviewed journal article</x:v>
      </x:c>
      <x:c r="M6" s="70" t="str">
        <x:v>Peer-reviewed</x:v>
      </x:c>
      <x:c r="N6" s="88" t="n">
        <x:v>2021</x:v>
      </x:c>
      <x:c r="O6" s="70" t="str">
        <x:v>Tatjana Hörnle</x:v>
      </x:c>
      <x:c r="P6" s="70" t="str">
        <x:v>Evaluating #MeToo: The Perspective of Criminal Law Theory</x:v>
      </x:c>
      <x:c r="Q6" s="70" t="str">
        <x:v>German Law Journal 22</x:v>
      </x:c>
      <x:c r="R6" s="70" t="str">
        <x:v>English</x:v>
      </x:c>
      <x:c r="S6" s="70" t="str">
        <x:v>If #MeToo produces blame, dismissal, and career-ending sanctions, it performs punishment-like work and therefore needs careful fact-finding, precise categories, proportionality, and no credibility rule based on group membership.</x:v>
      </x:c>
      <x:c r="T6" s="70" t="str">
        <x:v>Rejects standpoint-style credibility and punishment without process; it does not reject every feminist political claim.</x:v>
      </x:c>
      <x:c r="U6" s="70" t="str">
        <x:v>Full text verified</x:v>
      </x:c>
      <x:c r="V6" s="70" t="str">
        <x:v>www.doi.org/10.1017/glj.2021.34</x:v>
      </x:c>
      <x:c r="W6" s="70" t="str">
        <x:v>10.1017/glj.2021.34</x:v>
      </x:c>
      <x:c r="X6" s="92" t="n">
        <x:v>46230</x:v>
      </x:c>
      <x:c r="Y6" s="92" t="n">
        <x:v>46230</x:v>
      </x:c>
      <x:c r="Z6" s="70" t="str"/>
      <x:c r="AA6" s="70" t="str"/>
      <x:c r="AB6" s="70" t="n">
        <x:v>1</x:v>
      </x:c>
      <x:c r="AC6" s="70" t="str">
        <x:v>DIRECT OUTSIDE CRITIQUE</x:v>
      </x:c>
      <x:c r="AD6" s="70" t="str">
        <x:v>EXPLICIT CRITIQUE</x:v>
      </x:c>
      <x:c r="AE6" s="70" t="str">
        <x:v>YES</x:v>
      </x:c>
      <x:c r="AF6" s="70" t="str">
        <x:v>Identity-based credibility, belief commands, and punishment</x:v>
      </x:c>
      <x:c r="AG6" s="70" t="str">
        <x:v>NO EVIDENCE</x:v>
      </x:c>
      <x:c r="AH6" s="70" t="str"/>
      <x:c r="AI6" s="70" t="str"/>
      <x:c r="AJ6" s="70" t="str"/>
      <x:c r="AK6" s="70" t="str">
        <x:v>DIRECT EXPLICIT</x:v>
      </x:c>
      <x:c r="AL6" s="70" t="str">
        <x:v>Paraphrase: Requires individualized evidence and denies identity-based credibility authority.</x:v>
      </x:c>
      <x:c r="AM6" s="70" t="str">
        <x:v>pp. 839–840</x:v>
      </x:c>
      <x:c r="AN6" s="70" t="str">
        <x:v>www.doi.org/10.1017/glj.2021.34</x:v>
      </x:c>
      <x:c r="AO6" s="70" t="str"/>
      <x:c r="AP6" s="70" t="str">
        <x:v>Research team</x:v>
      </x:c>
      <x:c r="AQ6" s="70" t="str">
        <x:v>GORGONWARS-PREMISE-1.0</x:v>
      </x:c>
      <x:c r="AR6" s="70" t="str"/>
      <x:c r="AS6" s="81" t="str">
        <x:f>IF(A6="","",IF(OR(E6="NOT APPLICABLE",E6="PREMISES UNRESOLVED"),"N/A",IF(OR(AND(F6&lt;&gt;"NO EVIDENCE",F6&lt;&gt;"NOT APPLICABLE",OR(AG6="",AH6="",AI6="",AJ6="",AG6="SYSTEM INFERENCE",AG6="ABSTRACT ONLY",AG6="SECONDARY REPORT",AG6="UNVERIFIED",AI6="Exact locator needed",AI6="HAU forum framing; exact target locator needed",AI6="Forum exchange; exact locator needed")),AND(G6&lt;&gt;"NO EVIDENCE",G6&lt;&gt;"NOT APPLICABLE",OR(AK6="",AL6="",AM6="",AN6="",AK6="SYSTEM INFERENCE",AK6="ABSTRACT ONLY",AK6="SECONDARY REPORT",AK6="UNVERIFIED",AM6="Exact locator needed",AM6="HAU forum framing; exact target locator needed",AM6="Forum exchange; exact locator needed"))),"EVIDENCE DEBT","READY")))</x:f>
        <x:v>READY</x:v>
      </x:c>
      <x:c r="AT6" s="71" t="str"/>
    </x:row>
    <x:row r="7" ht="50" customHeight="1">
      <x:c r="A7" s="85" t="n">
        <x:v>2</x:v>
      </x:c>
      <x:c r="B7" s="73" t="str">
        <x:v>Active</x:v>
      </x:c>
      <x:c r="C7" s="89" t="n">
        <x:v>1</x:v>
      </x:c>
      <x:c r="D7" s="82" t="str">
        <x:f>IF(C7="","",IFERROR(VLOOKUP(C7,'Database controls'!$A$5:$B$20,2,FALSE),"NEW / UNCATEGORIZED"))</x:f>
        <x:v>Strict outside academic evidence</x:v>
      </x:c>
      <x:c r="E7" s="73" t="str">
        <x:v>OUTSIDE / EXCOMMUNICABLE</x:v>
      </x:c>
      <x:c r="F7" s="73" t="str">
        <x:v>NO EVIDENCE</x:v>
      </x:c>
      <x:c r="G7" s="73" t="str">
        <x:v>REJECTS</x:v>
      </x:c>
      <x:c r="H7" s="82" t="str">
        <x:f>IF(A7="","",IF(OR(F7="REJECTS",G7="REJECTS"),"OUTSIDE / EXCOMMUNICABLE",IF(AND(OR(F7="RETAINS",F7="RETAINS WITH QUALIFICATION"),OR(G7="RETAINS",G7="RETAINS WITH QUALIFICATION")),"INTERNAL GORGONWARS",IF(AND(F7="NOT APPLICABLE",G7="NOT APPLICABLE"),"NOT APPLICABLE","PREMISES UNRESOLVED"))))</x:f>
        <x:v>OUTSIDE / EXCOMMUNICABLE</x:v>
      </x:c>
      <x:c r="I7" s="82" t="str">
        <x:f>IF(A7="","",IF(E7=H7,"OK",IF(AO7&lt;&gt;"","OVERRIDDEN","REVIEW")))</x:f>
        <x:v>OK</x:v>
      </x:c>
      <x:c r="J7" s="73" t="str">
        <x:v>Due-process critique of substitute adjudication</x:v>
      </x:c>
      <x:c r="K7" s="73" t="str">
        <x:v>Direct #MeToo critique</x:v>
      </x:c>
      <x:c r="L7" s="73" t="str">
        <x:v>Law review article</x:v>
      </x:c>
      <x:c r="M7" s="73" t="str">
        <x:v>Law review / editorial review</x:v>
      </x:c>
      <x:c r="N7" s="89" t="n">
        <x:v>2019</x:v>
      </x:c>
      <x:c r="O7" s="73" t="str">
        <x:v>Bruce A. Green and Rebecca Roiphe</x:v>
      </x:c>
      <x:c r="P7" s="73" t="str">
        <x:v>Punishment Without Process: ‘Victim Impact’ Proceedings for Dead Defendants</x:v>
      </x:c>
      <x:c r="Q7" s="73" t="str">
        <x:v>Fordham Law Review Online 88</x:v>
      </x:c>
      <x:c r="R7" s="73" t="str">
        <x:v>English</x:v>
      </x:c>
      <x:c r="S7" s="73" t="str">
        <x:v>When guilt was never finally adjudicated, courts cannot turn victim-impact proceedings into substitute trials; accusers deserve respectful investigation while credibility and guilt remain individualized factual questions.</x:v>
      </x:c>
      <x:c r="T7" s="73" t="str">
        <x:v>A legal-process analogue rather than a wholesale analysis of #MeToo or feminism.</x:v>
      </x:c>
      <x:c r="U7" s="73" t="str">
        <x:v>Full text verified</x:v>
      </x:c>
      <x:c r="V7" s="73" t="str">
        <x:v>www.digitalcommons.nyls.edu/fac_articles_chapters/1345/</x:v>
      </x:c>
      <x:c r="W7" s="73" t="str"/>
      <x:c r="X7" s="93" t="n">
        <x:v>46230</x:v>
      </x:c>
      <x:c r="Y7" s="93" t="n">
        <x:v>46230</x:v>
      </x:c>
      <x:c r="Z7" s="73" t="str"/>
      <x:c r="AA7" s="73" t="str"/>
      <x:c r="AB7" s="73" t="n">
        <x:v>2</x:v>
      </x:c>
      <x:c r="AC7" s="73" t="str">
        <x:v>DIRECT OUTSIDE CRITIQUE</x:v>
      </x:c>
      <x:c r="AD7" s="73" t="str">
        <x:v>EXPLICIT CRITIQUE</x:v>
      </x:c>
      <x:c r="AE7" s="73" t="str">
        <x:v>YES</x:v>
      </x:c>
      <x:c r="AF7" s="73" t="str">
        <x:v>Identity-based credibility, belief commands, and punishment</x:v>
      </x:c>
      <x:c r="AG7" s="73" t="str">
        <x:v>NO EVIDENCE</x:v>
      </x:c>
      <x:c r="AH7" s="73" t="str"/>
      <x:c r="AI7" s="73" t="str"/>
      <x:c r="AJ7" s="73" t="str"/>
      <x:c r="AK7" s="73" t="str">
        <x:v>DIRECT ENTAILMENT</x:v>
      </x:c>
      <x:c r="AL7" s="73" t="str">
        <x:v>Paraphrase: Requires individualized evidence and denies identity-based credibility authority.</x:v>
      </x:c>
      <x:c r="AM7" s="73" t="str">
        <x:v>pp. 43–44</x:v>
      </x:c>
      <x:c r="AN7" s="73" t="str">
        <x:v>www.digitalcommons.nyls.edu/fac_articles_chapters/1345/</x:v>
      </x:c>
      <x:c r="AO7" s="73" t="str"/>
      <x:c r="AP7" s="73" t="str">
        <x:v>Research team</x:v>
      </x:c>
      <x:c r="AQ7" s="73" t="str">
        <x:v>GORGONWARS-PREMISE-1.0</x:v>
      </x:c>
      <x:c r="AR7" s="73" t="str"/>
      <x:c r="AS7" s="82" t="str">
        <x:f>IF(A7="","",IF(OR(E7="NOT APPLICABLE",E7="PREMISES UNRESOLVED"),"N/A",IF(OR(AND(F7&lt;&gt;"NO EVIDENCE",F7&lt;&gt;"NOT APPLICABLE",OR(AG7="",AH7="",AI7="",AJ7="",AG7="SYSTEM INFERENCE",AG7="ABSTRACT ONLY",AG7="SECONDARY REPORT",AG7="UNVERIFIED",AI7="Exact locator needed",AI7="HAU forum framing; exact target locator needed",AI7="Forum exchange; exact locator needed")),AND(G7&lt;&gt;"NO EVIDENCE",G7&lt;&gt;"NOT APPLICABLE",OR(AK7="",AL7="",AM7="",AN7="",AK7="SYSTEM INFERENCE",AK7="ABSTRACT ONLY",AK7="SECONDARY REPORT",AK7="UNVERIFIED",AM7="Exact locator needed",AM7="HAU forum framing; exact target locator needed",AM7="Forum exchange; exact locator needed"))),"EVIDENCE DEBT","READY")))</x:f>
        <x:v>READY</x:v>
      </x:c>
      <x:c r="AT7" s="74" t="str"/>
    </x:row>
    <x:row r="8" ht="50" customHeight="1">
      <x:c r="A8" s="86" t="n">
        <x:v>3</x:v>
      </x:c>
      <x:c r="B8" s="76" t="str">
        <x:v>Active</x:v>
      </x:c>
      <x:c r="C8" s="90" t="n">
        <x:v>1</x:v>
      </x:c>
      <x:c r="D8" s="82" t="str">
        <x:f>IF(C8="","",IFERROR(VLOOKUP(C8,'Database controls'!$A$5:$B$20,2,FALSE),"NEW / UNCATEGORIZED"))</x:f>
        <x:v>Strict outside academic evidence</x:v>
      </x:c>
      <x:c r="E8" s="76" t="str">
        <x:v>OUTSIDE / EXCOMMUNICABLE</x:v>
      </x:c>
      <x:c r="F8" s="76" t="str">
        <x:v>NO EVIDENCE</x:v>
      </x:c>
      <x:c r="G8" s="76" t="str">
        <x:v>REJECTS</x:v>
      </x:c>
      <x:c r="H8" s="82" t="str">
        <x:f>IF(A8="","",IF(OR(F8="REJECTS",G8="REJECTS"),"OUTSIDE / EXCOMMUNICABLE",IF(AND(OR(F8="RETAINS",F8="RETAINS WITH QUALIFICATION"),OR(G8="RETAINS",G8="RETAINS WITH QUALIFICATION")),"INTERNAL GORGONWARS",IF(AND(F8="NOT APPLICABLE",G8="NOT APPLICABLE"),"NOT APPLICABLE","PREMISES UNRESOLVED"))))</x:f>
        <x:v>OUTSIDE / EXCOMMUNICABLE</x:v>
      </x:c>
      <x:c r="I8" s="82" t="str">
        <x:f>IF(A8="","",IF(E8=H8,"OK",IF(AO8&lt;&gt;"","OVERRIDDEN","REVIEW")))</x:f>
        <x:v>OK</x:v>
      </x:c>
      <x:c r="J8" s="76" t="str">
        <x:v>Direct challenge to identity-based testimonial presumption</x:v>
      </x:c>
      <x:c r="K8" s="76" t="str">
        <x:v>Direct #MeToo critique</x:v>
      </x:c>
      <x:c r="L8" s="76" t="str">
        <x:v>Law review article</x:v>
      </x:c>
      <x:c r="M8" s="76" t="str">
        <x:v>Law review / editorial review</x:v>
      </x:c>
      <x:c r="N8" s="90" t="n">
        <x:v>2018</x:v>
      </x:c>
      <x:c r="O8" s="76" t="str">
        <x:v>Dan Subotnik</x:v>
      </x:c>
      <x:c r="P8" s="76" t="str">
        <x:v>Why Not Believe Women in Sexual Assault Cases?: An Engagement with Professors Tuerkheimer, Colb, and Many Others</x:v>
      </x:c>
      <x:c r="Q8" s="76" t="str">
        <x:v>Touro Law Review 34</x:v>
      </x:c>
      <x:c r="R8" s="76" t="str">
        <x:v>English</x:v>
      </x:c>
      <x:c r="S8" s="76" t="str">
        <x:v>Sexual-assault reports deserve serious investigation, but being a woman cannot itself create a strong presumption that the accused is guilty.</x:v>
      </x:c>
      <x:c r="T8" s="76" t="str">
        <x:v>A polemical legal critique; rejection of automatic belief does not establish rejection of all feminist testimony scholarship.</x:v>
      </x:c>
      <x:c r="U8" s="76" t="str">
        <x:v>Full text verified</x:v>
      </x:c>
      <x:c r="V8" s="76" t="str">
        <x:v>www.digitalcommons.tourolaw.edu/lawreview/vol34/iss4/11/</x:v>
      </x:c>
      <x:c r="W8" s="76" t="str"/>
      <x:c r="X8" s="94" t="n">
        <x:v>46230</x:v>
      </x:c>
      <x:c r="Y8" s="94" t="n">
        <x:v>46230</x:v>
      </x:c>
      <x:c r="Z8" s="76" t="str"/>
      <x:c r="AA8" s="76" t="str"/>
      <x:c r="AB8" s="76" t="n">
        <x:v>3</x:v>
      </x:c>
      <x:c r="AC8" s="76" t="str">
        <x:v>DIRECT OUTSIDE CRITIQUE</x:v>
      </x:c>
      <x:c r="AD8" s="76" t="str">
        <x:v>EXPLICIT CRITIQUE</x:v>
      </x:c>
      <x:c r="AE8" s="76" t="str">
        <x:v>YES</x:v>
      </x:c>
      <x:c r="AF8" s="76" t="str">
        <x:v>Identity-based credibility, belief commands, and punishment</x:v>
      </x:c>
      <x:c r="AG8" s="76" t="str">
        <x:v>NO EVIDENCE</x:v>
      </x:c>
      <x:c r="AH8" s="76" t="str"/>
      <x:c r="AI8" s="76" t="str"/>
      <x:c r="AJ8" s="76" t="str"/>
      <x:c r="AK8" s="76" t="str">
        <x:v>DIRECT EXPLICIT</x:v>
      </x:c>
      <x:c r="AL8" s="76" t="str">
        <x:v>Paraphrase: Requires individualized evidence and denies identity-based credibility authority.</x:v>
      </x:c>
      <x:c r="AM8" s="76" t="str">
        <x:v>p. 1022</x:v>
      </x:c>
      <x:c r="AN8" s="76" t="str">
        <x:v>www.digitalcommons.tourolaw.edu/lawreview/vol34/iss4/11/</x:v>
      </x:c>
      <x:c r="AO8" s="76" t="str"/>
      <x:c r="AP8" s="76" t="str">
        <x:v>Research team</x:v>
      </x:c>
      <x:c r="AQ8" s="76" t="str">
        <x:v>GORGONWARS-PREMISE-1.0</x:v>
      </x:c>
      <x:c r="AR8" s="76" t="str"/>
      <x:c r="AS8" s="82" t="str">
        <x:f>IF(A8="","",IF(OR(E8="NOT APPLICABLE",E8="PREMISES UNRESOLVED"),"N/A",IF(OR(AND(F8&lt;&gt;"NO EVIDENCE",F8&lt;&gt;"NOT APPLICABLE",OR(AG8="",AH8="",AI8="",AJ8="",AG8="SYSTEM INFERENCE",AG8="ABSTRACT ONLY",AG8="SECONDARY REPORT",AG8="UNVERIFIED",AI8="Exact locator needed",AI8="HAU forum framing; exact target locator needed",AI8="Forum exchange; exact locator needed")),AND(G8&lt;&gt;"NO EVIDENCE",G8&lt;&gt;"NOT APPLICABLE",OR(AK8="",AL8="",AM8="",AN8="",AK8="SYSTEM INFERENCE",AK8="ABSTRACT ONLY",AK8="SECONDARY REPORT",AK8="UNVERIFIED",AM8="Exact locator needed",AM8="HAU forum framing; exact target locator needed",AM8="Forum exchange; exact locator needed"))),"EVIDENCE DEBT","READY")))</x:f>
        <x:v>READY</x:v>
      </x:c>
      <x:c r="AT8" s="77" t="str"/>
    </x:row>
    <x:row r="9" ht="50" customHeight="1">
      <x:c r="A9" s="85" t="n">
        <x:v>4</x:v>
      </x:c>
      <x:c r="B9" s="73" t="str">
        <x:v>Active</x:v>
      </x:c>
      <x:c r="C9" s="89" t="n">
        <x:v>1</x:v>
      </x:c>
      <x:c r="D9" s="82" t="str">
        <x:f>IF(C9="","",IFERROR(VLOOKUP(C9,'Database controls'!$A$5:$B$20,2,FALSE),"NEW / UNCATEGORIZED"))</x:f>
        <x:v>Strict outside academic evidence</x:v>
      </x:c>
      <x:c r="E9" s="73" t="str">
        <x:v>OUTSIDE / EXCOMMUNICABLE</x:v>
      </x:c>
      <x:c r="F9" s="73" t="str">
        <x:v>NO EVIDENCE</x:v>
      </x:c>
      <x:c r="G9" s="73" t="str">
        <x:v>REJECTS</x:v>
      </x:c>
      <x:c r="H9" s="82" t="str">
        <x:f>IF(A9="","",IF(OR(F9="REJECTS",G9="REJECTS"),"OUTSIDE / EXCOMMUNICABLE",IF(AND(OR(F9="RETAINS",F9="RETAINS WITH QUALIFICATION"),OR(G9="RETAINS",G9="RETAINS WITH QUALIFICATION")),"INTERNAL GORGONWARS",IF(AND(F9="NOT APPLICABLE",G9="NOT APPLICABLE"),"NOT APPLICABLE","PREMISES UNRESOLVED"))))</x:f>
        <x:v>OUTSIDE / EXCOMMUNICABLE</x:v>
      </x:c>
      <x:c r="I9" s="82" t="str">
        <x:f>IF(A9="","",IF(E9=H9,"OK",IF(AO9&lt;&gt;"","OVERRIDDEN","REVIEW")))</x:f>
        <x:v>OK</x:v>
      </x:c>
      <x:c r="J9" s="73" t="str">
        <x:v>Consent and evidence critique</x:v>
      </x:c>
      <x:c r="K9" s="73" t="str">
        <x:v>Direct #MeToo critique</x:v>
      </x:c>
      <x:c r="L9" s="73" t="str">
        <x:v>Law review article</x:v>
      </x:c>
      <x:c r="M9" s="73" t="str">
        <x:v>Law review / editorial review</x:v>
      </x:c>
      <x:c r="N9" s="89" t="n">
        <x:v>2021</x:v>
      </x:c>
      <x:c r="O9" s="73" t="str">
        <x:v>Dan Subotnik</x:v>
      </x:c>
      <x:c r="P9" s="73" t="str">
        <x:v>The Slippery Discourse of Sexual Consent: Feminist Acumen and Feminist Excess</x:v>
      </x:c>
      <x:c r="Q9" s="73" t="str">
        <x:v>Touro Law Review 37</x:v>
      </x:c>
      <x:c r="R9" s="73" t="str">
        <x:v>English</x:v>
      </x:c>
      <x:c r="S9" s="73" t="str">
        <x:v>Feminist consent reform exposes real abuse, but justice still needs case-level evidence, due process, reliable prevalence claims, and room for women’s sexual power and ambivalence.</x:v>
      </x:c>
      <x:c r="T9" s="73" t="str">
        <x:v>Critiques specific feminist consent arguments rather than proving a single position held by all feminisms.</x:v>
      </x:c>
      <x:c r="U9" s="73" t="str">
        <x:v>Full text verified</x:v>
      </x:c>
      <x:c r="V9" s="73" t="str">
        <x:v>www.digitalcommons.tourolaw.edu/lawreview/vol37/iss2/10/</x:v>
      </x:c>
      <x:c r="W9" s="73" t="str"/>
      <x:c r="X9" s="93" t="n">
        <x:v>46230</x:v>
      </x:c>
      <x:c r="Y9" s="93" t="n">
        <x:v>46230</x:v>
      </x:c>
      <x:c r="Z9" s="73" t="str"/>
      <x:c r="AA9" s="73" t="str"/>
      <x:c r="AB9" s="73" t="n">
        <x:v>4</x:v>
      </x:c>
      <x:c r="AC9" s="73" t="str">
        <x:v>DIRECT OUTSIDE CRITIQUE</x:v>
      </x:c>
      <x:c r="AD9" s="73" t="str">
        <x:v>EXPLICIT CRITIQUE</x:v>
      </x:c>
      <x:c r="AE9" s="73" t="str">
        <x:v>YES</x:v>
      </x:c>
      <x:c r="AF9" s="73" t="str">
        <x:v>Identity-based credibility, belief commands, and punishment</x:v>
      </x:c>
      <x:c r="AG9" s="73" t="str">
        <x:v>NO EVIDENCE</x:v>
      </x:c>
      <x:c r="AH9" s="73" t="str"/>
      <x:c r="AI9" s="73" t="str"/>
      <x:c r="AJ9" s="73" t="str"/>
      <x:c r="AK9" s="73" t="str">
        <x:v>DIRECT ENTAILMENT</x:v>
      </x:c>
      <x:c r="AL9" s="73" t="str">
        <x:v>Paraphrase: Requires individualized evidence and denies identity-based credibility authority.</x:v>
      </x:c>
      <x:c r="AM9" s="73" t="str">
        <x:v>Abstract and body</x:v>
      </x:c>
      <x:c r="AN9" s="73" t="str">
        <x:v>www.digitalcommons.tourolaw.edu/lawreview/vol37/iss2/10/</x:v>
      </x:c>
      <x:c r="AO9" s="73" t="str"/>
      <x:c r="AP9" s="73" t="str">
        <x:v>Research team</x:v>
      </x:c>
      <x:c r="AQ9" s="73" t="str">
        <x:v>GORGONWARS-PREMISE-1.0</x:v>
      </x:c>
      <x:c r="AR9" s="73" t="str"/>
      <x:c r="AS9" s="82" t="str">
        <x:f>IF(A9="","",IF(OR(E9="NOT APPLICABLE",E9="PREMISES UNRESOLVED"),"N/A",IF(OR(AND(F9&lt;&gt;"NO EVIDENCE",F9&lt;&gt;"NOT APPLICABLE",OR(AG9="",AH9="",AI9="",AJ9="",AG9="SYSTEM INFERENCE",AG9="ABSTRACT ONLY",AG9="SECONDARY REPORT",AG9="UNVERIFIED",AI9="Exact locator needed",AI9="HAU forum framing; exact target locator needed",AI9="Forum exchange; exact locator needed")),AND(G9&lt;&gt;"NO EVIDENCE",G9&lt;&gt;"NOT APPLICABLE",OR(AK9="",AL9="",AM9="",AN9="",AK9="SYSTEM INFERENCE",AK9="ABSTRACT ONLY",AK9="SECONDARY REPORT",AK9="UNVERIFIED",AM9="Exact locator needed",AM9="HAU forum framing; exact target locator needed",AM9="Forum exchange; exact locator needed"))),"EVIDENCE DEBT","READY")))</x:f>
        <x:v>READY</x:v>
      </x:c>
      <x:c r="AT9" s="74" t="str"/>
    </x:row>
    <x:row r="10" ht="50" customHeight="1">
      <x:c r="A10" s="86" t="n">
        <x:v>5</x:v>
      </x:c>
      <x:c r="B10" s="76" t="str">
        <x:v>Active</x:v>
      </x:c>
      <x:c r="C10" s="90" t="n">
        <x:v>1</x:v>
      </x:c>
      <x:c r="D10" s="82" t="str">
        <x:f>IF(C10="","",IFERROR(VLOOKUP(C10,'Database controls'!$A$5:$B$20,2,FALSE),"NEW / UNCATEGORIZED"))</x:f>
        <x:v>Strict outside academic evidence</x:v>
      </x:c>
      <x:c r="E10" s="76" t="str">
        <x:v>OUTSIDE / EXCOMMUNICABLE</x:v>
      </x:c>
      <x:c r="F10" s="76" t="str">
        <x:v>RETAINS</x:v>
      </x:c>
      <x:c r="G10" s="76" t="str">
        <x:v>RETAINS WITH QUALIFICATION</x:v>
      </x:c>
      <x:c r="H10" s="82" t="str">
        <x:f>IF(A10="","",IF(OR(F10="REJECTS",G10="REJECTS"),"OUTSIDE / EXCOMMUNICABLE",IF(AND(OR(F10="RETAINS",F10="RETAINS WITH QUALIFICATION"),OR(G10="RETAINS",G10="RETAINS WITH QUALIFICATION")),"INTERNAL GORGONWARS",IF(AND(F10="NOT APPLICABLE",G10="NOT APPLICABLE"),"NOT APPLICABLE","PREMISES UNRESOLVED"))))</x:f>
        <x:v>INTERNAL GORGONWARS</x:v>
      </x:c>
      <x:c r="I10" s="82" t="str">
        <x:f>IF(A10="","",IF(E10=H10,"OK",IF(AO10&lt;&gt;"","OVERRIDDEN","REVIEW")))</x:f>
        <x:v>REVIEW</x:v>
      </x:c>
      <x:c r="J10" s="76" t="str">
        <x:v>Immanent critique of survivor-led epistemic authority</x:v>
      </x:c>
      <x:c r="K10" s="76" t="str">
        <x:v>Direct #MeToo critique</x:v>
      </x:c>
      <x:c r="L10" s="76" t="str">
        <x:v>Peer-reviewed journal article</x:v>
      </x:c>
      <x:c r="M10" s="76" t="str">
        <x:v>Peer-reviewed</x:v>
      </x:c>
      <x:c r="N10" s="90" t="n">
        <x:v>2025</x:v>
      </x:c>
      <x:c r="O10" s="76" t="str">
        <x:v>Molly Rosabelle Ackhurst</x:v>
      </x:c>
      <x:c r="P10" s="76" t="str">
        <x:v>Listening, or ‘Led By’? Belief, Innocence and the Risks of a ‘Survivor-Led’ Feminist Politics</x:v>
      </x:c>
      <x:c r="Q10" s="76" t="str">
        <x:v>Feminist Theory</x:v>
      </x:c>
      <x:c r="R10" s="76" t="str">
        <x:v>English</x:v>
      </x:c>
      <x:c r="S10" s="76" t="str">
        <x:v>Centering survivors means attentive care, not obeying every survivor demand without question, because automatic deference can reproduce carceral harm.</x:v>
      </x:c>
      <x:c r="T10" s="76" t="str">
        <x:v>An internal feminist critique that crosses the strict outside threshold only on survivor-led epistemic authority, not on every meaning of the personal-is-political premise.</x:v>
      </x:c>
      <x:c r="U10" s="76" t="str">
        <x:v>Full text verified</x:v>
      </x:c>
      <x:c r="V10" s="76" t="str">
        <x:v>www.journals.sagepub.com/doi/10.1177/14647001251380418</x:v>
      </x:c>
      <x:c r="W10" s="76" t="str"/>
      <x:c r="X10" s="94" t="n">
        <x:v>46230</x:v>
      </x:c>
      <x:c r="Y10" s="94" t="n">
        <x:v>46230</x:v>
      </x:c>
      <x:c r="Z10" s="76" t="str"/>
      <x:c r="AA10" s="76" t="str"/>
      <x:c r="AB10" s="76" t="n">
        <x:v>5</x:v>
      </x:c>
      <x:c r="AC10" s="76" t="str">
        <x:v>DIRECT OUTSIDE CRITIQUE</x:v>
      </x:c>
      <x:c r="AD10" s="76" t="str">
        <x:v>EXPLICIT CRITIQUE</x:v>
      </x:c>
      <x:c r="AE10" s="76" t="str">
        <x:v>YES</x:v>
      </x:c>
      <x:c r="AF10" s="76" t="str">
        <x:v>Identity-based credibility, belief commands, and punishment</x:v>
      </x:c>
      <x:c r="AG10" s="76" t="str">
        <x:v>DIRECT ENTAILMENT</x:v>
      </x:c>
      <x:c r="AH10" s="76" t="str">
        <x:v>Paraphrase: Treats personal disclosure or intimate experience as political knowledge or collective action.</x:v>
      </x:c>
      <x:c r="AI10" s="76" t="str">
        <x:v>Exact locator needed</x:v>
      </x:c>
      <x:c r="AJ10" s="76" t="str">
        <x:v>www.journals.sagepub.com/doi/10.1177/14647001251380418</x:v>
      </x:c>
      <x:c r="AK10" s="76" t="str">
        <x:v>DIRECT ENTAILMENT</x:v>
      </x:c>
      <x:c r="AL10" s="76" t="str">
        <x:v>Paraphrase: Gives positional experience corrective weight while retaining evidentiary limits.</x:v>
      </x:c>
      <x:c r="AM10" s="76" t="str">
        <x:v>Exact locator needed</x:v>
      </x:c>
      <x:c r="AN10" s="76" t="str">
        <x:v>www.journals.sagepub.com/doi/10.1177/14647001251380418</x:v>
      </x:c>
      <x:c r="AO10" s="76" t="str"/>
      <x:c r="AP10" s="76" t="str">
        <x:v>Research team</x:v>
      </x:c>
      <x:c r="AQ10" s="76" t="str">
        <x:v>GORGONWARS-PREMISE-1.0</x:v>
      </x:c>
      <x:c r="AR10" s="76" t="str"/>
      <x:c r="AS10" s="82" t="str">
        <x:f>IF(A10="","",IF(OR(E10="NOT APPLICABLE",E10="PREMISES UNRESOLVED"),"N/A",IF(OR(AND(F10&lt;&gt;"NO EVIDENCE",F10&lt;&gt;"NOT APPLICABLE",OR(AG10="",AH10="",AI10="",AJ10="",AG10="SYSTEM INFERENCE",AG10="ABSTRACT ONLY",AG10="SECONDARY REPORT",AG10="UNVERIFIED",AI10="Exact locator needed",AI10="HAU forum framing; exact target locator needed",AI10="Forum exchange; exact locator needed")),AND(G10&lt;&gt;"NO EVIDENCE",G10&lt;&gt;"NOT APPLICABLE",OR(AK10="",AL10="",AM10="",AN10="",AK10="SYSTEM INFERENCE",AK10="ABSTRACT ONLY",AK10="SECONDARY REPORT",AK10="UNVERIFIED",AM10="Exact locator needed",AM10="HAU forum framing; exact target locator needed",AM10="Forum exchange; exact locator needed"))),"EVIDENCE DEBT","READY")))</x:f>
        <x:v>EVIDENCE DEBT</x:v>
      </x:c>
      <x:c r="AT10" s="77" t="str"/>
    </x:row>
    <x:row r="11" ht="50" customHeight="1">
      <x:c r="A11" s="85" t="n">
        <x:v>6</x:v>
      </x:c>
      <x:c r="B11" s="73" t="str">
        <x:v>Active</x:v>
      </x:c>
      <x:c r="C11" s="89" t="n">
        <x:v>1</x:v>
      </x:c>
      <x:c r="D11" s="82" t="str">
        <x:f>IF(C11="","",IFERROR(VLOOKUP(C11,'Database controls'!$A$5:$B$20,2,FALSE),"NEW / UNCATEGORIZED"))</x:f>
        <x:v>Strict outside academic evidence</x:v>
      </x:c>
      <x:c r="E11" s="73" t="str">
        <x:v>OUTSIDE / EXCOMMUNICABLE</x:v>
      </x:c>
      <x:c r="F11" s="73" t="str">
        <x:v>NO EVIDENCE</x:v>
      </x:c>
      <x:c r="G11" s="73" t="str">
        <x:v>REJECTS</x:v>
      </x:c>
      <x:c r="H11" s="82" t="str">
        <x:f>IF(A11="","",IF(OR(F11="REJECTS",G11="REJECTS"),"OUTSIDE / EXCOMMUNICABLE",IF(AND(OR(F11="RETAINS",F11="RETAINS WITH QUALIFICATION"),OR(G11="RETAINS",G11="RETAINS WITH QUALIFICATION")),"INTERNAL GORGONWARS",IF(AND(F11="NOT APPLICABLE",G11="NOT APPLICABLE"),"NOT APPLICABLE","PREMISES UNRESOLVED"))))</x:f>
        <x:v>OUTSIDE / EXCOMMUNICABLE</x:v>
      </x:c>
      <x:c r="I11" s="82" t="str">
        <x:f>IF(A11="","",IF(E11=H11,"OK",IF(AO11&lt;&gt;"","OVERRIDDEN","REVIEW")))</x:f>
        <x:v>OK</x:v>
      </x:c>
      <x:c r="J11" s="73" t="str">
        <x:v>Discourse analysis of hashtag victim identity</x:v>
      </x:c>
      <x:c r="K11" s="73" t="str">
        <x:v>Direct #MeToo critique</x:v>
      </x:c>
      <x:c r="L11" s="73" t="str">
        <x:v>Peer-reviewed journal article</x:v>
      </x:c>
      <x:c r="M11" s="73" t="str">
        <x:v>Peer-reviewed</x:v>
      </x:c>
      <x:c r="N11" s="89" t="n">
        <x:v>2022</x:v>
      </x:c>
      <x:c r="O11" s="73" t="str">
        <x:v>David García-Ramos</x:v>
      </x:c>
      <x:c r="P11" s="73" t="str">
        <x:v>#MeToo, o de cómo (no) todos somos víctimas. El hashtag como marca victimaria</x:v>
      </x:c>
      <x:c r="Q11" s="73" t="str">
        <x:v>Revista de Estudios del Discurso Digital 5</x:v>
      </x:c>
      <x:c r="R11" s="73" t="str">
        <x:v>Spanish</x:v>
      </x:c>
      <x:c r="S11" s="73" t="str">
        <x:v>The hashtag can turn first-person stories into a contagious victim identity that pre-sorts accusers and accused before individual evaluation.</x:v>
      </x:c>
      <x:c r="T11" s="73" t="str">
        <x:v>Analyzes the hashtag’s discursive operation; it does not by itself establish how every #MeToo institution adjudicates claims.</x:v>
      </x:c>
      <x:c r="U11" s="73" t="str">
        <x:v>Full text verified</x:v>
      </x:c>
      <x:c r="V11" s="73" t="str">
        <x:v>www.revistas.uva.es/index.php/redd/en/article/view/7115</x:v>
      </x:c>
      <x:c r="W11" s="73" t="str"/>
      <x:c r="X11" s="93" t="n">
        <x:v>46230</x:v>
      </x:c>
      <x:c r="Y11" s="93" t="n">
        <x:v>46230</x:v>
      </x:c>
      <x:c r="Z11" s="73" t="str"/>
      <x:c r="AA11" s="73" t="str"/>
      <x:c r="AB11" s="73" t="n">
        <x:v>6</x:v>
      </x:c>
      <x:c r="AC11" s="73" t="str">
        <x:v>DIRECT OUTSIDE CRITIQUE</x:v>
      </x:c>
      <x:c r="AD11" s="73" t="str">
        <x:v>EXPLICIT CRITIQUE</x:v>
      </x:c>
      <x:c r="AE11" s="73" t="str">
        <x:v>YES</x:v>
      </x:c>
      <x:c r="AF11" s="73" t="str">
        <x:v>Identity-based credibility, belief commands, and punishment</x:v>
      </x:c>
      <x:c r="AG11" s="73" t="str">
        <x:v>NO EVIDENCE</x:v>
      </x:c>
      <x:c r="AH11" s="73" t="str"/>
      <x:c r="AI11" s="73" t="str"/>
      <x:c r="AJ11" s="73" t="str"/>
      <x:c r="AK11" s="73" t="str">
        <x:v>DIRECT ENTAILMENT</x:v>
      </x:c>
      <x:c r="AL11" s="73" t="str">
        <x:v>Paraphrase: Requires individualized evidence and denies identity-based credibility authority.</x:v>
      </x:c>
      <x:c r="AM11" s="73" t="str">
        <x:v>pp. 54–56</x:v>
      </x:c>
      <x:c r="AN11" s="73" t="str">
        <x:v>www.revistas.uva.es/index.php/redd/en/article/view/7115</x:v>
      </x:c>
      <x:c r="AO11" s="73" t="str"/>
      <x:c r="AP11" s="73" t="str">
        <x:v>Research team</x:v>
      </x:c>
      <x:c r="AQ11" s="73" t="str">
        <x:v>GORGONWARS-PREMISE-1.0</x:v>
      </x:c>
      <x:c r="AR11" s="73" t="str"/>
      <x:c r="AS11" s="82" t="str">
        <x:f>IF(A11="","",IF(OR(E11="NOT APPLICABLE",E11="PREMISES UNRESOLVED"),"N/A",IF(OR(AND(F11&lt;&gt;"NO EVIDENCE",F11&lt;&gt;"NOT APPLICABLE",OR(AG11="",AH11="",AI11="",AJ11="",AG11="SYSTEM INFERENCE",AG11="ABSTRACT ONLY",AG11="SECONDARY REPORT",AG11="UNVERIFIED",AI11="Exact locator needed",AI11="HAU forum framing; exact target locator needed",AI11="Forum exchange; exact locator needed")),AND(G11&lt;&gt;"NO EVIDENCE",G11&lt;&gt;"NOT APPLICABLE",OR(AK11="",AL11="",AM11="",AN11="",AK11="SYSTEM INFERENCE",AK11="ABSTRACT ONLY",AK11="SECONDARY REPORT",AK11="UNVERIFIED",AM11="Exact locator needed",AM11="HAU forum framing; exact target locator needed",AM11="Forum exchange; exact locator needed"))),"EVIDENCE DEBT","READY")))</x:f>
        <x:v>READY</x:v>
      </x:c>
      <x:c r="AT11" s="74" t="str"/>
    </x:row>
    <x:row r="12" ht="50" customHeight="1">
      <x:c r="A12" s="86" t="n">
        <x:v>7</x:v>
      </x:c>
      <x:c r="B12" s="76" t="str">
        <x:v>Active</x:v>
      </x:c>
      <x:c r="C12" s="90" t="n">
        <x:v>1</x:v>
      </x:c>
      <x:c r="D12" s="82" t="str">
        <x:f>IF(C12="","",IFERROR(VLOOKUP(C12,'Database controls'!$A$5:$B$20,2,FALSE),"NEW / UNCATEGORIZED"))</x:f>
        <x:v>Strict outside academic evidence</x:v>
      </x:c>
      <x:c r="E12" s="76" t="str">
        <x:v>OUTSIDE / EXCOMMUNICABLE</x:v>
      </x:c>
      <x:c r="F12" s="76" t="str">
        <x:v>NO EVIDENCE</x:v>
      </x:c>
      <x:c r="G12" s="76" t="str">
        <x:v>REJECTS</x:v>
      </x:c>
      <x:c r="H12" s="82" t="str">
        <x:f>IF(A12="","",IF(OR(F12="REJECTS",G12="REJECTS"),"OUTSIDE / EXCOMMUNICABLE",IF(AND(OR(F12="RETAINS",F12="RETAINS WITH QUALIFICATION"),OR(G12="RETAINS",G12="RETAINS WITH QUALIFICATION")),"INTERNAL GORGONWARS",IF(AND(F12="NOT APPLICABLE",G12="NOT APPLICABLE"),"NOT APPLICABLE","PREMISES UNRESOLVED"))))</x:f>
        <x:v>OUTSIDE / EXCOMMUNICABLE</x:v>
      </x:c>
      <x:c r="I12" s="82" t="str">
        <x:f>IF(A12="","",IF(E12=H12,"OK",IF(AO12&lt;&gt;"","OVERRIDDEN","REVIEW")))</x:f>
        <x:v>OK</x:v>
      </x:c>
      <x:c r="J12" s="76" t="str">
        <x:v>Direct #MeToo criminal-law critique</x:v>
      </x:c>
      <x:c r="K12" s="76" t="str">
        <x:v>Direct #MeToo critique</x:v>
      </x:c>
      <x:c r="L12" s="76" t="str">
        <x:v>Law review article</x:v>
      </x:c>
      <x:c r="M12" s="76" t="str">
        <x:v>Law review / editorial review</x:v>
      </x:c>
      <x:c r="N12" s="90" t="n">
        <x:v>2019</x:v>
      </x:c>
      <x:c r="O12" s="76" t="str">
        <x:v>Tatjana Hörnle</x:v>
      </x:c>
      <x:c r="P12" s="76" t="str">
        <x:v>#MeToo – Implications for Criminal Law?</x:v>
      </x:c>
      <x:c r="Q12" s="76" t="str">
        <x:v>Bergen Journal of Criminal Law &amp; Criminal Justice 6(2)</x:v>
      </x:c>
      <x:c r="R12" s="76" t="str">
        <x:v>English</x:v>
      </x:c>
      <x:c r="S12" s="76" t="str">
        <x:v>#MeToo usefully exposes abuse and may justify consent-law reform, but naming and shaming is dangerous informal punishment and accusations still require neutral factual assessment rather than subjective experience deciding truth.</x:v>
      </x:c>
      <x:c r="T12" s="76" t="str">
        <x:v>Accepts parts of #MeToo’s reform agenda while rejecting its use as an evidentiary shortcut.</x:v>
      </x:c>
      <x:c r="U12" s="76" t="str">
        <x:v>Full text verified</x:v>
      </x:c>
      <x:c r="V12" s="76" t="str">
        <x:v>www.boap.uib.no/index.php/BJCLCJ/article/view/2720</x:v>
      </x:c>
      <x:c r="W12" s="76" t="str"/>
      <x:c r="X12" s="94" t="n">
        <x:v>46230</x:v>
      </x:c>
      <x:c r="Y12" s="94" t="n">
        <x:v>46230</x:v>
      </x:c>
      <x:c r="Z12" s="76" t="str"/>
      <x:c r="AA12" s="76" t="str"/>
      <x:c r="AB12" s="76" t="n">
        <x:v>7</x:v>
      </x:c>
      <x:c r="AC12" s="76" t="str">
        <x:v>DIRECT OUTSIDE CRITIQUE</x:v>
      </x:c>
      <x:c r="AD12" s="76" t="str">
        <x:v>EXPLICIT CRITIQUE</x:v>
      </x:c>
      <x:c r="AE12" s="76" t="str">
        <x:v>YES</x:v>
      </x:c>
      <x:c r="AF12" s="76" t="str">
        <x:v>Identity-based credibility, belief commands, and punishment</x:v>
      </x:c>
      <x:c r="AG12" s="76" t="str">
        <x:v>NO EVIDENCE</x:v>
      </x:c>
      <x:c r="AH12" s="76" t="str"/>
      <x:c r="AI12" s="76" t="str"/>
      <x:c r="AJ12" s="76" t="str"/>
      <x:c r="AK12" s="76" t="str">
        <x:v>DIRECT ENTAILMENT</x:v>
      </x:c>
      <x:c r="AL12" s="76" t="str">
        <x:v>Paraphrase: Requires individualized evidence and denies identity-based credibility authority.</x:v>
      </x:c>
      <x:c r="AM12" s="76" t="str">
        <x:v>pp. 119–120 and 133–134</x:v>
      </x:c>
      <x:c r="AN12" s="76" t="str">
        <x:v>www.boap.uib.no/index.php/BJCLCJ/article/view/2720</x:v>
      </x:c>
      <x:c r="AO12" s="76" t="str"/>
      <x:c r="AP12" s="76" t="str">
        <x:v>Research team</x:v>
      </x:c>
      <x:c r="AQ12" s="76" t="str">
        <x:v>GORGONWARS-PREMISE-1.0</x:v>
      </x:c>
      <x:c r="AR12" s="76" t="str"/>
      <x:c r="AS12" s="82" t="str">
        <x:f>IF(A12="","",IF(OR(E12="NOT APPLICABLE",E12="PREMISES UNRESOLVED"),"N/A",IF(OR(AND(F12&lt;&gt;"NO EVIDENCE",F12&lt;&gt;"NOT APPLICABLE",OR(AG12="",AH12="",AI12="",AJ12="",AG12="SYSTEM INFERENCE",AG12="ABSTRACT ONLY",AG12="SECONDARY REPORT",AG12="UNVERIFIED",AI12="Exact locator needed",AI12="HAU forum framing; exact target locator needed",AI12="Forum exchange; exact locator needed")),AND(G12&lt;&gt;"NO EVIDENCE",G12&lt;&gt;"NOT APPLICABLE",OR(AK12="",AL12="",AM12="",AN12="",AK12="SYSTEM INFERENCE",AK12="ABSTRACT ONLY",AK12="SECONDARY REPORT",AK12="UNVERIFIED",AM12="Exact locator needed",AM12="HAU forum framing; exact target locator needed",AM12="Forum exchange; exact locator needed"))),"EVIDENCE DEBT","READY")))</x:f>
        <x:v>READY</x:v>
      </x:c>
      <x:c r="AT12" s="77" t="str"/>
    </x:row>
    <x:row r="13" ht="50" customHeight="1">
      <x:c r="A13" s="85" t="n">
        <x:v>8</x:v>
      </x:c>
      <x:c r="B13" s="73" t="str">
        <x:v>Active</x:v>
      </x:c>
      <x:c r="C13" s="89" t="n">
        <x:v>1</x:v>
      </x:c>
      <x:c r="D13" s="82" t="str">
        <x:f>IF(C13="","",IFERROR(VLOOKUP(C13,'Database controls'!$A$5:$B$20,2,FALSE),"NEW / UNCATEGORIZED"))</x:f>
        <x:v>Strict outside academic evidence</x:v>
      </x:c>
      <x:c r="E13" s="73" t="str">
        <x:v>OUTSIDE / EXCOMMUNICABLE</x:v>
      </x:c>
      <x:c r="F13" s="73" t="str">
        <x:v>RETAINS</x:v>
      </x:c>
      <x:c r="G13" s="73" t="str">
        <x:v>RETAINS WITH QUALIFICATION</x:v>
      </x:c>
      <x:c r="H13" s="82" t="str">
        <x:f>IF(A13="","",IF(OR(F13="REJECTS",G13="REJECTS"),"OUTSIDE / EXCOMMUNICABLE",IF(AND(OR(F13="RETAINS",F13="RETAINS WITH QUALIFICATION"),OR(G13="RETAINS",G13="RETAINS WITH QUALIFICATION")),"INTERNAL GORGONWARS",IF(AND(F13="NOT APPLICABLE",G13="NOT APPLICABLE"),"NOT APPLICABLE","PREMISES UNRESOLVED"))))</x:f>
        <x:v>INTERNAL GORGONWARS</x:v>
      </x:c>
      <x:c r="I13" s="82" t="str">
        <x:f>IF(A13="","",IF(E13=H13,"OK",IF(AO13&lt;&gt;"","OVERRIDDEN","REVIEW")))</x:f>
        <x:v>REVIEW</x:v>
      </x:c>
      <x:c r="J13" s="73" t="str">
        <x:v>Epistemic critique of commanded belief and disbelief</x:v>
      </x:c>
      <x:c r="K13" s="73" t="str">
        <x:v>Direct #MeToo critique</x:v>
      </x:c>
      <x:c r="L13" s="73" t="str">
        <x:v>Peer-reviewed journal article</x:v>
      </x:c>
      <x:c r="M13" s="73" t="str">
        <x:v>Peer-reviewed</x:v>
      </x:c>
      <x:c r="N13" s="89" t="n">
        <x:v>2020</x:v>
      </x:c>
      <x:c r="O13" s="73" t="str">
        <x:v>Alexis A. Adams-Clark and Jennifer J. Freyd</x:v>
      </x:c>
      <x:c r="P13" s="73" t="str">
        <x:v>Questioning Beliefs About Sexual Violence</x:v>
      </x:c>
      <x:c r="Q13" s="73" t="str">
        <x:v>Journal of Trauma &amp; Dissociation 21(5):505–512</x:v>
      </x:c>
      <x:c r="R13" s="73" t="str">
        <x:v>English</x:v>
      </x:c>
      <x:c r="S13" s="73" t="str">
        <x:v>Reflexive disbelief and commanded belief can both override survivors’ autonomy; the ethical response is serious listening and evidence-sensitive action rather than belief solely because of gender.</x:v>
      </x:c>
      <x:c r="T13" s="73" t="str">
        <x:v>Rejects automatic belief, not the value of survivor testimony or structural analysis.</x:v>
      </x:c>
      <x:c r="U13" s="73" t="str">
        <x:v>Full text verified</x:v>
      </x:c>
      <x:c r="V13" s="73" t="str">
        <x:v>www.doi.org/10.1080/15299732.2020.1789407</x:v>
      </x:c>
      <x:c r="W13" s="73" t="str">
        <x:v>10.1080/15299732.2020.1789407</x:v>
      </x:c>
      <x:c r="X13" s="93" t="n">
        <x:v>46230</x:v>
      </x:c>
      <x:c r="Y13" s="93" t="n">
        <x:v>46230</x:v>
      </x:c>
      <x:c r="Z13" s="73" t="str"/>
      <x:c r="AA13" s="73" t="str"/>
      <x:c r="AB13" s="73" t="n">
        <x:v>8</x:v>
      </x:c>
      <x:c r="AC13" s="73" t="str">
        <x:v>DIRECT OUTSIDE CRITIQUE</x:v>
      </x:c>
      <x:c r="AD13" s="73" t="str">
        <x:v>EXPLICIT CRITIQUE</x:v>
      </x:c>
      <x:c r="AE13" s="73" t="str">
        <x:v>YES</x:v>
      </x:c>
      <x:c r="AF13" s="73" t="str">
        <x:v>Identity-based credibility, belief commands, and punishment</x:v>
      </x:c>
      <x:c r="AG13" s="73" t="str">
        <x:v>DIRECT ENTAILMENT</x:v>
      </x:c>
      <x:c r="AH13" s="73" t="str">
        <x:v>Paraphrase: Treats personal disclosure or intimate experience as political knowledge or collective action.</x:v>
      </x:c>
      <x:c r="AI13" s="73" t="str">
        <x:v>p. 506</x:v>
      </x:c>
      <x:c r="AJ13" s="73" t="str">
        <x:v>www.doi.org/10.1080/15299732.2020.1789407</x:v>
      </x:c>
      <x:c r="AK13" s="73" t="str">
        <x:v>DIRECT ENTAILMENT</x:v>
      </x:c>
      <x:c r="AL13" s="73" t="str">
        <x:v>Paraphrase: Gives positional experience corrective weight while retaining evidentiary limits.</x:v>
      </x:c>
      <x:c r="AM13" s="73" t="str">
        <x:v>p. 506</x:v>
      </x:c>
      <x:c r="AN13" s="73" t="str">
        <x:v>www.doi.org/10.1080/15299732.2020.1789407</x:v>
      </x:c>
      <x:c r="AO13" s="73" t="str"/>
      <x:c r="AP13" s="73" t="str">
        <x:v>Research team</x:v>
      </x:c>
      <x:c r="AQ13" s="73" t="str">
        <x:v>GORGONWARS-PREMISE-1.0</x:v>
      </x:c>
      <x:c r="AR13" s="73" t="str"/>
      <x:c r="AS13" s="82" t="str">
        <x:f>IF(A13="","",IF(OR(E13="NOT APPLICABLE",E13="PREMISES UNRESOLVED"),"N/A",IF(OR(AND(F13&lt;&gt;"NO EVIDENCE",F13&lt;&gt;"NOT APPLICABLE",OR(AG13="",AH13="",AI13="",AJ13="",AG13="SYSTEM INFERENCE",AG13="ABSTRACT ONLY",AG13="SECONDARY REPORT",AG13="UNVERIFIED",AI13="Exact locator needed",AI13="HAU forum framing; exact target locator needed",AI13="Forum exchange; exact locator needed")),AND(G13&lt;&gt;"NO EVIDENCE",G13&lt;&gt;"NOT APPLICABLE",OR(AK13="",AL13="",AM13="",AN13="",AK13="SYSTEM INFERENCE",AK13="ABSTRACT ONLY",AK13="SECONDARY REPORT",AK13="UNVERIFIED",AM13="Exact locator needed",AM13="HAU forum framing; exact target locator needed",AM13="Forum exchange; exact locator needed"))),"EVIDENCE DEBT","READY")))</x:f>
        <x:v>READY</x:v>
      </x:c>
      <x:c r="AT13" s="74" t="str"/>
    </x:row>
    <x:row r="14" ht="50" customHeight="1">
      <x:c r="A14" s="86" t="n">
        <x:v>9</x:v>
      </x:c>
      <x:c r="B14" s="76" t="str">
        <x:v>Needs full text</x:v>
      </x:c>
      <x:c r="C14" s="90" t="n">
        <x:v>2</x:v>
      </x:c>
      <x:c r="D14" s="82" t="str">
        <x:f>IF(C14="","",IFERROR(VLOOKUP(C14,'Database controls'!$A$5:$B$20,2,FALSE),"NEW / UNCATEGORIZED"))</x:f>
        <x:v>Foundational public/private-boundary dissent</x:v>
      </x:c>
      <x:c r="E14" s="76" t="str">
        <x:v>OUTSIDE / EXCOMMUNICABLE</x:v>
      </x:c>
      <x:c r="F14" s="76" t="str">
        <x:v>REJECTS</x:v>
      </x:c>
      <x:c r="G14" s="76" t="str">
        <x:v>NO EVIDENCE</x:v>
      </x:c>
      <x:c r="H14" s="82" t="str">
        <x:f>IF(A14="","",IF(OR(F14="REJECTS",G14="REJECTS"),"OUTSIDE / EXCOMMUNICABLE",IF(AND(OR(F14="RETAINS",F14="RETAINS WITH QUALIFICATION"),OR(G14="RETAINS",G14="RETAINS WITH QUALIFICATION")),"INTERNAL GORGONWARS",IF(AND(F14="NOT APPLICABLE",G14="NOT APPLICABLE"),"NOT APPLICABLE","PREMISES UNRESOLVED"))))</x:f>
        <x:v>OUTSIDE / EXCOMMUNICABLE</x:v>
      </x:c>
      <x:c r="I14" s="82" t="str">
        <x:f>IF(A14="","",IF(E14=H14,"OK",IF(AO14&lt;&gt;"","OVERRIDDEN","REVIEW")))</x:f>
        <x:v>OK</x:v>
      </x:c>
      <x:c r="J14" s="76" t="str">
        <x:v>Direct #MeToo boundary critique</x:v>
      </x:c>
      <x:c r="K14" s="76" t="str">
        <x:v>Direct #MeToo critique</x:v>
      </x:c>
      <x:c r="L14" s="76" t="str">
        <x:v>Peer-reviewed journal article</x:v>
      </x:c>
      <x:c r="M14" s="76" t="str">
        <x:v>Peer-reviewed</x:v>
      </x:c>
      <x:c r="N14" s="90" t="n">
        <x:v>2018</x:v>
      </x:c>
      <x:c r="O14" s="76" t="str">
        <x:v>Franco La Cecla</x:v>
      </x:c>
      <x:c r="P14" s="76" t="str">
        <x:v>Therapy of Desire</x:v>
      </x:c>
      <x:c r="Q14" s="76" t="str">
        <x:v>HAU: Journal of Ethnographic Theory 8(3):435–438</x:v>
      </x:c>
      <x:c r="R14" s="76" t="str">
        <x:v>English</x:v>
      </x:c>
      <x:c r="S14" s="76" t="str">
        <x:v>#MeToo can expose coercion while still making a mistake if it places intimacy and shifting desire under universal public surveillance, replaces relational complexity with stereotypes, and treats sex as generalized suspicion.</x:v>
      </x:c>
      <x:c r="T14" s="76" t="str">
        <x:v>Supported but provisional: the target HAU text was paywalled and was corroborated through Pipyrou’s framing and La Cecla’s own related essay.</x:v>
      </x:c>
      <x:c r="U14" s="76" t="str">
        <x:v>Partial / target-text gap</x:v>
      </x:c>
      <x:c r="V14" s="76" t="str">
        <x:v>www.journals.uchicago.edu/doi/full/10.1086/701009</x:v>
      </x:c>
      <x:c r="W14" s="76" t="str">
        <x:v>10.1086/701009</x:v>
      </x:c>
      <x:c r="X14" s="94" t="n">
        <x:v>46230</x:v>
      </x:c>
      <x:c r="Y14" s="94" t="n">
        <x:v>46230</x:v>
      </x:c>
      <x:c r="Z14" s="76" t="str"/>
      <x:c r="AA14" s="76" t="str">
        <x:v>Related author intervention: source 50</x:v>
      </x:c>
      <x:c r="AB14" s="76" t="n">
        <x:v>9</x:v>
      </x:c>
      <x:c r="AC14" s="76" t="str">
        <x:v>DIRECT OUTSIDE CRITIQUE</x:v>
      </x:c>
      <x:c r="AD14" s="76" t="str">
        <x:v>EXPLICIT CRITIQUE</x:v>
      </x:c>
      <x:c r="AE14" s="76" t="str">
        <x:v>YES</x:v>
      </x:c>
      <x:c r="AF14" s="76" t="str">
        <x:v>Collapse of private life into generalized political adjudication</x:v>
      </x:c>
      <x:c r="AG14" s="76" t="str">
        <x:v>SECONDARY REPORT</x:v>
      </x:c>
      <x:c r="AH14" s="76" t="str">
        <x:v>Paraphrase: Preserves intimate or private life from generalized political adjudication.</x:v>
      </x:c>
      <x:c r="AI14" s="76" t="str">
        <x:v>HAU forum framing; exact target locator needed</x:v>
      </x:c>
      <x:c r="AJ14" s="76" t="str">
        <x:v>www.journals.uchicago.edu/doi/full/10.1086/701009</x:v>
      </x:c>
      <x:c r="AK14" s="76" t="str">
        <x:v>NO EVIDENCE</x:v>
      </x:c>
      <x:c r="AL14" s="76" t="str"/>
      <x:c r="AM14" s="76" t="str"/>
      <x:c r="AN14" s="76" t="str"/>
      <x:c r="AO14" s="76" t="str"/>
      <x:c r="AP14" s="76" t="str">
        <x:v>Research team</x:v>
      </x:c>
      <x:c r="AQ14" s="76" t="str">
        <x:v>GORGONWARS-PREMISE-1.0</x:v>
      </x:c>
      <x:c r="AR14" s="76" t="str"/>
      <x:c r="AS14" s="82" t="str">
        <x:f>IF(A14="","",IF(OR(E14="NOT APPLICABLE",E14="PREMISES UNRESOLVED"),"N/A",IF(OR(AND(F14&lt;&gt;"NO EVIDENCE",F14&lt;&gt;"NOT APPLICABLE",OR(AG14="",AH14="",AI14="",AJ14="",AG14="SYSTEM INFERENCE",AG14="ABSTRACT ONLY",AG14="SECONDARY REPORT",AG14="UNVERIFIED",AI14="Exact locator needed",AI14="HAU forum framing; exact target locator needed",AI14="Forum exchange; exact locator needed")),AND(G14&lt;&gt;"NO EVIDENCE",G14&lt;&gt;"NOT APPLICABLE",OR(AK14="",AL14="",AM14="",AN14="",AK14="SYSTEM INFERENCE",AK14="ABSTRACT ONLY",AK14="SECONDARY REPORT",AK14="UNVERIFIED",AM14="Exact locator needed",AM14="HAU forum framing; exact target locator needed",AM14="Forum exchange; exact locator needed"))),"EVIDENCE DEBT","READY")))</x:f>
        <x:v>EVIDENCE DEBT</x:v>
      </x:c>
      <x:c r="AT14" s="77" t="str"/>
    </x:row>
    <x:row r="15" ht="50" customHeight="1">
      <x:c r="A15" s="85" t="n">
        <x:v>10</x:v>
      </x:c>
      <x:c r="B15" s="73" t="str">
        <x:v>Active</x:v>
      </x:c>
      <x:c r="C15" s="89" t="n">
        <x:v>2</x:v>
      </x:c>
      <x:c r="D15" s="82" t="str">
        <x:f>IF(C15="","",IFERROR(VLOOKUP(C15,'Database controls'!$A$5:$B$20,2,FALSE),"NEW / UNCATEGORIZED"))</x:f>
        <x:v>Foundational public/private-boundary dissent</x:v>
      </x:c>
      <x:c r="E15" s="73" t="str">
        <x:v>OUTSIDE / EXCOMMUNICABLE</x:v>
      </x:c>
      <x:c r="F15" s="73" t="str">
        <x:v>REJECTS</x:v>
      </x:c>
      <x:c r="G15" s="73" t="str">
        <x:v>NO EVIDENCE</x:v>
      </x:c>
      <x:c r="H15" s="82" t="str">
        <x:f>IF(A15="","",IF(OR(F15="REJECTS",G15="REJECTS"),"OUTSIDE / EXCOMMUNICABLE",IF(AND(OR(F15="RETAINS",F15="RETAINS WITH QUALIFICATION"),OR(G15="RETAINS",G15="RETAINS WITH QUALIFICATION")),"INTERNAL GORGONWARS",IF(AND(F15="NOT APPLICABLE",G15="NOT APPLICABLE"),"NOT APPLICABLE","PREMISES UNRESOLVED"))))</x:f>
        <x:v>OUTSIDE / EXCOMMUNICABLE</x:v>
      </x:c>
      <x:c r="I15" s="82" t="str">
        <x:f>IF(A15="","",IF(E15=H15,"OK",IF(AO15&lt;&gt;"","OVERRIDDEN","REVIEW")))</x:f>
        <x:v>OK</x:v>
      </x:c>
      <x:c r="J15" s="73" t="str">
        <x:v>Foundational antecedent defending a limited public/private distinction</x:v>
      </x:c>
      <x:c r="K15" s="73" t="str">
        <x:v>Foundational antecedent</x:v>
      </x:c>
      <x:c r="L15" s="73" t="str">
        <x:v>Law review article</x:v>
      </x:c>
      <x:c r="M15" s="73" t="str">
        <x:v>Law review / editorial review</x:v>
      </x:c>
      <x:c r="N15" s="89" t="n">
        <x:v>1992</x:v>
      </x:c>
      <x:c r="O15" s="73" t="str">
        <x:v>Ruth Gavison</x:v>
      </x:c>
      <x:c r="P15" s="73" t="str">
        <x:v>Feminism and the Public/Private Distinction</x:v>
      </x:c>
      <x:c r="Q15" s="73" t="str">
        <x:v>Stanford Law Review 45(1):1–45</x:v>
      </x:c>
      <x:c r="R15" s="73" t="str">
        <x:v>English</x:v>
      </x:c>
      <x:c r="S15" s="73" t="str">
        <x:v>Feminism should expose abuse and inequality concealed by privacy while preserving private life itself, because making all life publicly inspectable becomes totalizing and destroys goods women also need.</x:v>
      </x:c>
      <x:c r="T15" s="73" t="str">
        <x:v>A pre-#MeToo foundational antecedent, not an article about #MeToo.</x:v>
      </x:c>
      <x:c r="U15" s="73" t="str">
        <x:v>Full text verified</x:v>
      </x:c>
      <x:c r="V15" s="73" t="str">
        <x:v>www.jstor.org/stable/1228984</x:v>
      </x:c>
      <x:c r="W15" s="73" t="str">
        <x:v>JSTOR:1228984</x:v>
      </x:c>
      <x:c r="X15" s="93" t="n">
        <x:v>46230</x:v>
      </x:c>
      <x:c r="Y15" s="93" t="n">
        <x:v>46230</x:v>
      </x:c>
      <x:c r="Z15" s="73" t="str"/>
      <x:c r="AA15" s="73" t="str"/>
      <x:c r="AB15" s="73" t="n">
        <x:v>10</x:v>
      </x:c>
      <x:c r="AC15" s="73" t="str">
        <x:v>FOUNDATIONAL ANTECEDENT</x:v>
      </x:c>
      <x:c r="AD15" s="73" t="str">
        <x:v>MECHANISM / ADJACENT</x:v>
      </x:c>
      <x:c r="AE15" s="73" t="str">
        <x:v>NO</x:v>
      </x:c>
      <x:c r="AF15" s="73" t="str">
        <x:v>Collapse of private life into generalized political adjudication</x:v>
      </x:c>
      <x:c r="AG15" s="73" t="str">
        <x:v>DIRECT EXPLICIT</x:v>
      </x:c>
      <x:c r="AH15" s="73" t="str">
        <x:v>Paraphrase: Preserves intimate or private life from generalized political adjudication.</x:v>
      </x:c>
      <x:c r="AI15" s="73" t="str">
        <x:v>Exact locator needed</x:v>
      </x:c>
      <x:c r="AJ15" s="73" t="str">
        <x:v>www.jstor.org/stable/1228984</x:v>
      </x:c>
      <x:c r="AK15" s="73" t="str">
        <x:v>NO EVIDENCE</x:v>
      </x:c>
      <x:c r="AL15" s="73" t="str"/>
      <x:c r="AM15" s="73" t="str"/>
      <x:c r="AN15" s="73" t="str"/>
      <x:c r="AO15" s="73" t="str"/>
      <x:c r="AP15" s="73" t="str">
        <x:v>Research team</x:v>
      </x:c>
      <x:c r="AQ15" s="73" t="str">
        <x:v>GORGONWARS-PREMISE-1.0</x:v>
      </x:c>
      <x:c r="AR15" s="73" t="str"/>
      <x:c r="AS15" s="82" t="str">
        <x:f>IF(A15="","",IF(OR(E15="NOT APPLICABLE",E15="PREMISES UNRESOLVED"),"N/A",IF(OR(AND(F15&lt;&gt;"NO EVIDENCE",F15&lt;&gt;"NOT APPLICABLE",OR(AG15="",AH15="",AI15="",AJ15="",AG15="SYSTEM INFERENCE",AG15="ABSTRACT ONLY",AG15="SECONDARY REPORT",AG15="UNVERIFIED",AI15="Exact locator needed",AI15="HAU forum framing; exact target locator needed",AI15="Forum exchange; exact locator needed")),AND(G15&lt;&gt;"NO EVIDENCE",G15&lt;&gt;"NOT APPLICABLE",OR(AK15="",AL15="",AM15="",AN15="",AK15="SYSTEM INFERENCE",AK15="ABSTRACT ONLY",AK15="SECONDARY REPORT",AK15="UNVERIFIED",AM15="Exact locator needed",AM15="HAU forum framing; exact target locator needed",AM15="Forum exchange; exact locator needed"))),"EVIDENCE DEBT","READY")))</x:f>
        <x:v>EVIDENCE DEBT</x:v>
      </x:c>
      <x:c r="AT15" s="74" t="str"/>
    </x:row>
    <x:row r="16" ht="50" customHeight="1">
      <x:c r="A16" s="86" t="n">
        <x:v>11</x:v>
      </x:c>
      <x:c r="B16" s="76" t="str">
        <x:v>Active</x:v>
      </x:c>
      <x:c r="C16" s="90" t="n">
        <x:v>3</x:v>
      </x:c>
      <x:c r="D16" s="82" t="str">
        <x:f>IF(C16="","",IFERROR(VLOOKUP(C16,'Database controls'!$A$5:$B$20,2,FALSE),"NEW / UNCATEGORIZED"))</x:f>
        <x:v>PIP-retaining public/private reconstruction and internal control</x:v>
      </x:c>
      <x:c r="E16" s="76" t="str">
        <x:v>INTERNAL GORGONWARS</x:v>
      </x:c>
      <x:c r="F16" s="76" t="str">
        <x:v>RETAINS WITH QUALIFICATION</x:v>
      </x:c>
      <x:c r="G16" s="76" t="str">
        <x:v>NO EVIDENCE</x:v>
      </x:c>
      <x:c r="H16" s="82" t="str">
        <x:f>IF(A16="","",IF(OR(F16="REJECTS",G16="REJECTS"),"OUTSIDE / EXCOMMUNICABLE",IF(AND(OR(F16="RETAINS",F16="RETAINS WITH QUALIFICATION"),OR(G16="RETAINS",G16="RETAINS WITH QUALIFICATION")),"INTERNAL GORGONWARS",IF(AND(F16="NOT APPLICABLE",G16="NOT APPLICABLE"),"NOT APPLICABLE","PREMISES UNRESOLVED"))))</x:f>
        <x:v>PREMISES UNRESOLVED</x:v>
      </x:c>
      <x:c r="I16" s="82" t="str">
        <x:f>IF(A16="","",IF(E16=H16,"OK",IF(AO16&lt;&gt;"","OVERRIDDEN","REVIEW")))</x:f>
        <x:v>REVIEW</x:v>
      </x:c>
      <x:c r="J16" s="76" t="str">
        <x:v>Internal procedural critique and forum framing</x:v>
      </x:c>
      <x:c r="K16" s="76" t="str">
        <x:v>Direct #MeToo defense / internal reply</x:v>
      </x:c>
      <x:c r="L16" s="76" t="str">
        <x:v>Academic forum / editorial</x:v>
      </x:c>
      <x:c r="M16" s="76" t="str">
        <x:v>Academic forum / editorial</x:v>
      </x:c>
      <x:c r="N16" s="90" t="n">
        <x:v>2018</x:v>
      </x:c>
      <x:c r="O16" s="76" t="str">
        <x:v>Stavroula Pipyrou</x:v>
      </x:c>
      <x:c r="P16" s="76" t="str">
        <x:v>#MeToo is little more than mob rule // vs // #MeToo is a legitimate form of social justice</x:v>
      </x:c>
      <x:c r="Q16" s="76" t="str">
        <x:v>HAU: Journal of Ethnographic Theory 8(3):415–419</x:v>
      </x:c>
      <x:c r="R16" s="76" t="str">
        <x:v>English</x:v>
      </x:c>
      <x:c r="S16" s="76" t="str">
        <x:v>#MeToo legitimately makes silenced violence visible, but lasting reform requires contextual evidence, institutional change, and safeguards against vigilantism, shaming, factual error, and fixation on individual villains.</x:v>
      </x:c>
      <x:c r="T16" s="76" t="str">
        <x:v>An editorial framing a debate; it does not reject the personal-is-political premise or supply a full independent empirical test.</x:v>
      </x:c>
      <x:c r="U16" s="76" t="str">
        <x:v>Full text verified</x:v>
      </x:c>
      <x:c r="V16" s="76" t="str">
        <x:v>www.journals.uchicago.edu/doi/full/10.1086/701007</x:v>
      </x:c>
      <x:c r="W16" s="76" t="str">
        <x:v>10.1086/701007</x:v>
      </x:c>
      <x:c r="X16" s="94" t="n">
        <x:v>46230</x:v>
      </x:c>
      <x:c r="Y16" s="94" t="n">
        <x:v>46230</x:v>
      </x:c>
      <x:c r="Z16" s="76" t="str"/>
      <x:c r="AA16" s="76" t="str"/>
      <x:c r="AB16" s="76" t="n">
        <x:v>11</x:v>
      </x:c>
      <x:c r="AC16" s="76" t="str">
        <x:v>INTERNAL IMMANENT CRITIQUE</x:v>
      </x:c>
      <x:c r="AD16" s="76" t="str">
        <x:v>MIXED / QUALIFIED CRITIQUE</x:v>
      </x:c>
      <x:c r="AE16" s="76" t="str">
        <x:v>YES</x:v>
      </x:c>
      <x:c r="AF16" s="76" t="str">
        <x:v>Privacy reconstruction and procedural limits after politicization</x:v>
      </x:c>
      <x:c r="AG16" s="76" t="str">
        <x:v>DIRECT ENTAILMENT</x:v>
      </x:c>
      <x:c r="AH16" s="76" t="str">
        <x:v>Paraphrase: Retains politicization while adding privacy or procedural safeguards.</x:v>
      </x:c>
      <x:c r="AI16" s="76" t="str">
        <x:v>Forum exchange; exact locator needed</x:v>
      </x:c>
      <x:c r="AJ16" s="76" t="str">
        <x:v>www.journals.uchicago.edu/doi/full/10.1086/701007</x:v>
      </x:c>
      <x:c r="AK16" s="76" t="str">
        <x:v>NO EVIDENCE</x:v>
      </x:c>
      <x:c r="AL16" s="76" t="str"/>
      <x:c r="AM16" s="76" t="str"/>
      <x:c r="AN16" s="76" t="str"/>
      <x:c r="AO16" s="76" t="str"/>
      <x:c r="AP16" s="76" t="str">
        <x:v>Research team</x:v>
      </x:c>
      <x:c r="AQ16" s="76" t="str">
        <x:v>GORGONWARS-PREMISE-1.0</x:v>
      </x:c>
      <x:c r="AR16" s="76" t="str"/>
      <x:c r="AS16" s="82" t="str">
        <x:f>IF(A16="","",IF(OR(E16="NOT APPLICABLE",E16="PREMISES UNRESOLVED"),"N/A",IF(OR(AND(F16&lt;&gt;"NO EVIDENCE",F16&lt;&gt;"NOT APPLICABLE",OR(AG16="",AH16="",AI16="",AJ16="",AG16="SYSTEM INFERENCE",AG16="ABSTRACT ONLY",AG16="SECONDARY REPORT",AG16="UNVERIFIED",AI16="Exact locator needed",AI16="HAU forum framing; exact target locator needed",AI16="Forum exchange; exact locator needed")),AND(G16&lt;&gt;"NO EVIDENCE",G16&lt;&gt;"NOT APPLICABLE",OR(AK16="",AL16="",AM16="",AN16="",AK16="SYSTEM INFERENCE",AK16="ABSTRACT ONLY",AK16="SECONDARY REPORT",AK16="UNVERIFIED",AM16="Exact locator needed",AM16="HAU forum framing; exact target locator needed",AM16="Forum exchange; exact locator needed"))),"EVIDENCE DEBT","READY")))</x:f>
        <x:v>EVIDENCE DEBT</x:v>
      </x:c>
      <x:c r="AT16" s="77" t="str"/>
    </x:row>
    <x:row r="17" ht="50" customHeight="1">
      <x:c r="A17" s="85" t="n">
        <x:v>12</x:v>
      </x:c>
      <x:c r="B17" s="73" t="str">
        <x:v>Active</x:v>
      </x:c>
      <x:c r="C17" s="89" t="n">
        <x:v>3</x:v>
      </x:c>
      <x:c r="D17" s="82" t="str">
        <x:f>IF(C17="","",IFERROR(VLOOKUP(C17,'Database controls'!$A$5:$B$20,2,FALSE),"NEW / UNCATEGORIZED"))</x:f>
        <x:v>PIP-retaining public/private reconstruction and internal control</x:v>
      </x:c>
      <x:c r="E17" s="73" t="str">
        <x:v>INTERNAL GORGONWARS</x:v>
      </x:c>
      <x:c r="F17" s="73" t="str">
        <x:v>RETAINS</x:v>
      </x:c>
      <x:c r="G17" s="73" t="str">
        <x:v>RETAINS</x:v>
      </x:c>
      <x:c r="H17" s="82" t="str">
        <x:f>IF(A17="","",IF(OR(F17="REJECTS",G17="REJECTS"),"OUTSIDE / EXCOMMUNICABLE",IF(AND(OR(F17="RETAINS",F17="RETAINS WITH QUALIFICATION"),OR(G17="RETAINS",G17="RETAINS WITH QUALIFICATION")),"INTERNAL GORGONWARS",IF(AND(F17="NOT APPLICABLE",G17="NOT APPLICABLE"),"NOT APPLICABLE","PREMISES UNRESOLVED"))))</x:f>
        <x:v>INTERNAL GORGONWARS</x:v>
      </x:c>
      <x:c r="I17" s="82" t="str">
        <x:f>IF(A17="","",IF(E17=H17,"OK",IF(AO17&lt;&gt;"","OVERRIDDEN","REVIEW")))</x:f>
        <x:v>OK</x:v>
      </x:c>
      <x:c r="J17" s="73" t="str">
        <x:v>Internal reconstruction of privacy after collective disclosure</x:v>
      </x:c>
      <x:c r="K17" s="73" t="str">
        <x:v>Direct #MeToo defense / internal reply</x:v>
      </x:c>
      <x:c r="L17" s="73" t="str">
        <x:v>Peer-reviewed journal article</x:v>
      </x:c>
      <x:c r="M17" s="73" t="str">
        <x:v>Peer-reviewed</x:v>
      </x:c>
      <x:c r="N17" s="89" t="n">
        <x:v>2025</x:v>
      </x:c>
      <x:c r="O17" s="73" t="str">
        <x:v>Maggie O’Brien</x:v>
      </x:c>
      <x:c r="P17" s="73" t="str">
        <x:v>#MeToo and #ShoutYourAbortion: Claiming Standing and Exploding the Private Sphere</x:v>
      </x:c>
      <x:c r="Q17" s="73" t="str">
        <x:v>Legal Theory 31(1):54–73</x:v>
      </x:c>
      <x:c r="R17" s="73" t="str">
        <x:v>English</x:v>
      </x:c>
      <x:c r="S17" s="73" t="str">
        <x:v>Collective disclosure rightly makes hidden injuries and women’s standing publicly legible, while privacy can be rebuilt as protection for individuals instead of institutional secrecy for abusers.</x:v>
      </x:c>
      <x:c r="T17" s="73" t="str">
        <x:v>Reconstructs rather than rejects the public/private collapse; it belongs inside the feminist dispute.</x:v>
      </x:c>
      <x:c r="U17" s="73" t="str">
        <x:v>Full text verified</x:v>
      </x:c>
      <x:c r="V17" s="73" t="str">
        <x:v>www.cambridge.org/core/journals/legal-theory/article/metoo-and-shoutyourabortion-claiming-standing-and-exploding-the-private-sphere/24FE42769C0FC2F2B04D0141CB19C8CD</x:v>
      </x:c>
      <x:c r="W17" s="73" t="str"/>
      <x:c r="X17" s="93" t="n">
        <x:v>46230</x:v>
      </x:c>
      <x:c r="Y17" s="93" t="n">
        <x:v>46230</x:v>
      </x:c>
      <x:c r="Z17" s="73" t="str"/>
      <x:c r="AA17" s="73" t="str"/>
      <x:c r="AB17" s="73" t="n">
        <x:v>12</x:v>
      </x:c>
      <x:c r="AC17" s="73" t="str">
        <x:v>INTERNAL IMMANENT CRITIQUE</x:v>
      </x:c>
      <x:c r="AD17" s="73" t="str">
        <x:v>MIXED / QUALIFIED CRITIQUE</x:v>
      </x:c>
      <x:c r="AE17" s="73" t="str">
        <x:v>YES</x:v>
      </x:c>
      <x:c r="AF17" s="73" t="str">
        <x:v>Privacy reconstruction and procedural limits after politicization</x:v>
      </x:c>
      <x:c r="AG17" s="73" t="str">
        <x:v>DIRECT EXPLICIT</x:v>
      </x:c>
      <x:c r="AH17" s="73" t="str">
        <x:v>Paraphrase: Treats personal disclosure or intimate experience as political knowledge or collective action.</x:v>
      </x:c>
      <x:c r="AI17" s="73" t="str">
        <x:v>Article body; 'exploding the private sphere' section</x:v>
      </x:c>
      <x:c r="AJ17" s="73" t="str">
        <x:v>www.cambridge.org/core/journals/legal-theory/article/metoo-and-shoutyourabortion-claiming-standing-and-exploding-the-private-sphere/24FE42769C0FC2F2B04D0141CB19C8CD</x:v>
      </x:c>
      <x:c r="AK17" s="73" t="str">
        <x:v>DIRECT ENTAILMENT</x:v>
      </x:c>
      <x:c r="AL17" s="73" t="str">
        <x:v>Paraphrase: Treats marginalized or survivor position as distinctive epistemic or political authority.</x:v>
      </x:c>
      <x:c r="AM17" s="73" t="str">
        <x:v>Exact locator needed</x:v>
      </x:c>
      <x:c r="AN17" s="73" t="str">
        <x:v>www.cambridge.org/core/journals/legal-theory/article/metoo-and-shoutyourabortion-claiming-standing-and-exploding-the-private-sphere/24FE42769C0FC2F2B04D0141CB19C8CD</x:v>
      </x:c>
      <x:c r="AO17" s="73" t="str"/>
      <x:c r="AP17" s="73" t="str">
        <x:v>Research team</x:v>
      </x:c>
      <x:c r="AQ17" s="73" t="str">
        <x:v>GORGONWARS-PREMISE-1.0</x:v>
      </x:c>
      <x:c r="AR17" s="73" t="str"/>
      <x:c r="AS17" s="82" t="str">
        <x:f>IF(A17="","",IF(OR(E17="NOT APPLICABLE",E17="PREMISES UNRESOLVED"),"N/A",IF(OR(AND(F17&lt;&gt;"NO EVIDENCE",F17&lt;&gt;"NOT APPLICABLE",OR(AG17="",AH17="",AI17="",AJ17="",AG17="SYSTEM INFERENCE",AG17="ABSTRACT ONLY",AG17="SECONDARY REPORT",AG17="UNVERIFIED",AI17="Exact locator needed",AI17="HAU forum framing; exact target locator needed",AI17="Forum exchange; exact locator needed")),AND(G17&lt;&gt;"NO EVIDENCE",G17&lt;&gt;"NOT APPLICABLE",OR(AK17="",AL17="",AM17="",AN17="",AK17="SYSTEM INFERENCE",AK17="ABSTRACT ONLY",AK17="SECONDARY REPORT",AK17="UNVERIFIED",AM17="Exact locator needed",AM17="HAU forum framing; exact target locator needed",AM17="Forum exchange; exact locator needed"))),"EVIDENCE DEBT","READY")))</x:f>
        <x:v>EVIDENCE DEBT</x:v>
      </x:c>
      <x:c r="AT17" s="74" t="str"/>
    </x:row>
    <x:row r="18" ht="50" customHeight="1">
      <x:c r="A18" s="86" t="n">
        <x:v>13</x:v>
      </x:c>
      <x:c r="B18" s="76" t="str">
        <x:v>Provisional</x:v>
      </x:c>
      <x:c r="C18" s="90" t="n">
        <x:v>4</x:v>
      </x:c>
      <x:c r="D18" s="82" t="str">
        <x:f>IF(C18="","",IFERROR(VLOOKUP(C18,'Database controls'!$A$5:$B$20,2,FALSE),"NEW / UNCATEGORIZED"))</x:f>
        <x:v>Testimony, belief, and epistemic authority</x:v>
      </x:c>
      <x:c r="E18" s="76" t="str">
        <x:v>PREMISES UNRESOLVED</x:v>
      </x:c>
      <x:c r="F18" s="76" t="str">
        <x:v>NO EVIDENCE</x:v>
      </x:c>
      <x:c r="G18" s="76" t="str">
        <x:v>NO EVIDENCE</x:v>
      </x:c>
      <x:c r="H18" s="82" t="str">
        <x:f>IF(A18="","",IF(OR(F18="REJECTS",G18="REJECTS"),"OUTSIDE / EXCOMMUNICABLE",IF(AND(OR(F18="RETAINS",F18="RETAINS WITH QUALIFICATION"),OR(G18="RETAINS",G18="RETAINS WITH QUALIFICATION")),"INTERNAL GORGONWARS",IF(AND(F18="NOT APPLICABLE",G18="NOT APPLICABLE"),"NOT APPLICABLE","PREMISES UNRESOLVED"))))</x:f>
        <x:v>PREMISES UNRESOLVED</x:v>
      </x:c>
      <x:c r="I18" s="82" t="str">
        <x:f>IF(A18="","",IF(E18=H18,"OK",IF(AO18&lt;&gt;"","OVERRIDDEN","REVIEW")))</x:f>
        <x:v>OK</x:v>
      </x:c>
      <x:c r="J18" s="76" t="str">
        <x:v>Literary-critical challenge to ideological reading</x:v>
      </x:c>
      <x:c r="K18" s="76" t="str">
        <x:v>Direct #MeToo critique</x:v>
      </x:c>
      <x:c r="L18" s="76" t="str">
        <x:v>Peer-reviewed journal article</x:v>
      </x:c>
      <x:c r="M18" s="76" t="str">
        <x:v>Peer-reviewed</x:v>
      </x:c>
      <x:c r="N18" s="90" t="n">
        <x:v>2025</x:v>
      </x:c>
      <x:c r="O18" s="76" t="str">
        <x:v>Sara Minogue</x:v>
      </x:c>
      <x:c r="P18" s="76" t="str">
        <x:v>Margaret Atwood, #BelieveWomen, and the Limits of Literary Criticism</x:v>
      </x:c>
      <x:c r="Q18" s="76" t="str">
        <x:v>Canadian Literature 260:37–58</x:v>
      </x:c>
      <x:c r="R18" s="76" t="str">
        <x:v>English</x:v>
      </x:c>
      <x:c r="S18" s="76" t="str">
        <x:v>Critics should test Atwood’s actual body of work rather than infer defective feminism from her doubts about #BelieveWomen and resistance to one ideological frame.</x:v>
      </x:c>
      <x:c r="T18" s="76" t="str">
        <x:v>Provisional premise classification: criticism of ideological literary reading does not itself prove rejection of standpoint epistemology.</x:v>
      </x:c>
      <x:c r="U18" s="76" t="str">
        <x:v>Partial / target-text gap</x:v>
      </x:c>
      <x:c r="V18" s="76" t="str">
        <x:v>www.doi.org/10.14288/cl.vi260.199845</x:v>
      </x:c>
      <x:c r="W18" s="76" t="str">
        <x:v>10.14288/cl.vi260.199845</x:v>
      </x:c>
      <x:c r="X18" s="94" t="n">
        <x:v>46230</x:v>
      </x:c>
      <x:c r="Y18" s="94" t="n">
        <x:v>46230</x:v>
      </x:c>
      <x:c r="Z18" s="76" t="str"/>
      <x:c r="AA18" s="76" t="str"/>
      <x:c r="AB18" s="76" t="n">
        <x:v>13</x:v>
      </x:c>
      <x:c r="AC18" s="76" t="str">
        <x:v>ADJACENT CONTEXT</x:v>
      </x:c>
      <x:c r="AD18" s="76" t="str">
        <x:v>UNCLEAR</x:v>
      </x:c>
      <x:c r="AE18" s="76" t="str">
        <x:v>YES</x:v>
      </x:c>
      <x:c r="AF18" s="76" t="str">
        <x:v>Testimonial authority, credibility, and epistemic standing</x:v>
      </x:c>
      <x:c r="AG18" s="76" t="str">
        <x:v>NO EVIDENCE</x:v>
      </x:c>
      <x:c r="AH18" s="76" t="str"/>
      <x:c r="AI18" s="76" t="str"/>
      <x:c r="AJ18" s="76" t="str"/>
      <x:c r="AK18" s="76" t="str">
        <x:v>NO EVIDENCE</x:v>
      </x:c>
      <x:c r="AL18" s="76" t="str"/>
      <x:c r="AM18" s="76" t="str"/>
      <x:c r="AN18" s="76" t="str"/>
      <x:c r="AO18" s="76" t="str"/>
      <x:c r="AP18" s="76" t="str">
        <x:v>Research team</x:v>
      </x:c>
      <x:c r="AQ18" s="76" t="str">
        <x:v>GORGONWARS-PREMISE-1.0</x:v>
      </x:c>
      <x:c r="AR18" s="76" t="str"/>
      <x:c r="AS18" s="82" t="str">
        <x:f>IF(A18="","",IF(OR(E18="NOT APPLICABLE",E18="PREMISES UNRESOLVED"),"N/A",IF(OR(AND(F18&lt;&gt;"NO EVIDENCE",F18&lt;&gt;"NOT APPLICABLE",OR(AG18="",AH18="",AI18="",AJ18="",AG18="SYSTEM INFERENCE",AG18="ABSTRACT ONLY",AG18="SECONDARY REPORT",AG18="UNVERIFIED",AI18="Exact locator needed",AI18="HAU forum framing; exact target locator needed",AI18="Forum exchange; exact locator needed")),AND(G18&lt;&gt;"NO EVIDENCE",G18&lt;&gt;"NOT APPLICABLE",OR(AK18="",AL18="",AM18="",AN18="",AK18="SYSTEM INFERENCE",AK18="ABSTRACT ONLY",AK18="SECONDARY REPORT",AK18="UNVERIFIED",AM18="Exact locator needed",AM18="HAU forum framing; exact target locator needed",AM18="Forum exchange; exact locator needed"))),"EVIDENCE DEBT","READY")))</x:f>
        <x:v>N/A</x:v>
      </x:c>
      <x:c r="AT18" s="77" t="str"/>
    </x:row>
    <x:row r="19" ht="50" customHeight="1">
      <x:c r="A19" s="85" t="n">
        <x:v>14</x:v>
      </x:c>
      <x:c r="B19" s="73" t="str">
        <x:v>Active</x:v>
      </x:c>
      <x:c r="C19" s="89" t="n">
        <x:v>4</x:v>
      </x:c>
      <x:c r="D19" s="82" t="str">
        <x:f>IF(C19="","",IFERROR(VLOOKUP(C19,'Database controls'!$A$5:$B$20,2,FALSE),"NEW / UNCATEGORIZED"))</x:f>
        <x:v>Testimony, belief, and epistemic authority</x:v>
      </x:c>
      <x:c r="E19" s="73" t="str">
        <x:v>PREMISES UNRESOLVED</x:v>
      </x:c>
      <x:c r="F19" s="73" t="str">
        <x:v>NO EVIDENCE</x:v>
      </x:c>
      <x:c r="G19" s="73" t="str">
        <x:v>NO EVIDENCE</x:v>
      </x:c>
      <x:c r="H19" s="82" t="str">
        <x:f>IF(A19="","",IF(OR(F19="REJECTS",G19="REJECTS"),"OUTSIDE / EXCOMMUNICABLE",IF(AND(OR(F19="RETAINS",F19="RETAINS WITH QUALIFICATION"),OR(G19="RETAINS",G19="RETAINS WITH QUALIFICATION")),"INTERNAL GORGONWARS",IF(AND(F19="NOT APPLICABLE",G19="NOT APPLICABLE"),"NOT APPLICABLE","PREMISES UNRESOLVED"))))</x:f>
        <x:v>PREMISES UNRESOLVED</x:v>
      </x:c>
      <x:c r="I19" s="82" t="str">
        <x:f>IF(A19="","",IF(E19=H19,"OK",IF(AO19&lt;&gt;"","OVERRIDDEN","REVIEW")))</x:f>
        <x:v>OK</x:v>
      </x:c>
      <x:c r="J19" s="73" t="str">
        <x:v>Experimental test of gender effects on testimonial reliability</x:v>
      </x:c>
      <x:c r="K19" s="73" t="str">
        <x:v>Movement-adjacent</x:v>
      </x:c>
      <x:c r="L19" s="73" t="str">
        <x:v>Peer-reviewed journal article</x:v>
      </x:c>
      <x:c r="M19" s="73" t="str">
        <x:v>Peer-reviewed</x:v>
      </x:c>
      <x:c r="N19" s="89" t="n">
        <x:v>2024</x:v>
      </x:c>
      <x:c r="O19" s="73" t="str">
        <x:v>Klaudyna Horniczak, Andrzej Porębski, and Izabela Skoczeń</x:v>
      </x:c>
      <x:c r="P19" s="73" t="str">
        <x:v>Is Epistemic Status Gender-Biased? Gender As a Predictor of Testimonial Reliability Assessments in Violent Crimes</x:v>
      </x:c>
      <x:c r="Q19" s="73" t="str">
        <x:v>International Journal for the Semiotics of Law 37:1981–2008</x:v>
      </x:c>
      <x:c r="R19" s="73" t="str">
        <x:v>English</x:v>
      </x:c>
      <x:c r="S19" s="73" t="str">
        <x:v>Identical allegations should start with equal trust regardless of gender and the experiments show gender can distort ratings, while the authors leave open possible standpoint-derived expertise.</x:v>
      </x:c>
      <x:c r="T19" s="73" t="str">
        <x:v>Conditional evidence: equal initial trust is not the same as rejecting every standpoint claim.</x:v>
      </x:c>
      <x:c r="U19" s="73" t="str">
        <x:v>Source record verified</x:v>
      </x:c>
      <x:c r="V19" s="73" t="str">
        <x:v>www.doi.org/10.1007/s11196-023-10055-6</x:v>
      </x:c>
      <x:c r="W19" s="73" t="str">
        <x:v>10.1007/s11196-023-10055-6</x:v>
      </x:c>
      <x:c r="X19" s="93" t="n">
        <x:v>46230</x:v>
      </x:c>
      <x:c r="Y19" s="93" t="n">
        <x:v>46230</x:v>
      </x:c>
      <x:c r="Z19" s="73" t="str"/>
      <x:c r="AA19" s="73" t="str"/>
      <x:c r="AB19" s="73" t="n">
        <x:v>14</x:v>
      </x:c>
      <x:c r="AC19" s="73" t="str">
        <x:v>ADJACENT CONTEXT</x:v>
      </x:c>
      <x:c r="AD19" s="73" t="str">
        <x:v>UNCLEAR</x:v>
      </x:c>
      <x:c r="AE19" s="73" t="str">
        <x:v>ADJACENT</x:v>
      </x:c>
      <x:c r="AF19" s="73" t="str">
        <x:v>Testimonial authority, credibility, and epistemic standing</x:v>
      </x:c>
      <x:c r="AG19" s="73" t="str">
        <x:v>NO EVIDENCE</x:v>
      </x:c>
      <x:c r="AH19" s="73" t="str"/>
      <x:c r="AI19" s="73" t="str"/>
      <x:c r="AJ19" s="73" t="str"/>
      <x:c r="AK19" s="73" t="str">
        <x:v>NO EVIDENCE</x:v>
      </x:c>
      <x:c r="AL19" s="73" t="str"/>
      <x:c r="AM19" s="73" t="str"/>
      <x:c r="AN19" s="73" t="str"/>
      <x:c r="AO19" s="73" t="str"/>
      <x:c r="AP19" s="73" t="str">
        <x:v>Research team</x:v>
      </x:c>
      <x:c r="AQ19" s="73" t="str">
        <x:v>GORGONWARS-PREMISE-1.0</x:v>
      </x:c>
      <x:c r="AR19" s="73" t="str"/>
      <x:c r="AS19" s="82" t="str">
        <x:f>IF(A19="","",IF(OR(E19="NOT APPLICABLE",E19="PREMISES UNRESOLVED"),"N/A",IF(OR(AND(F19&lt;&gt;"NO EVIDENCE",F19&lt;&gt;"NOT APPLICABLE",OR(AG19="",AH19="",AI19="",AJ19="",AG19="SYSTEM INFERENCE",AG19="ABSTRACT ONLY",AG19="SECONDARY REPORT",AG19="UNVERIFIED",AI19="Exact locator needed",AI19="HAU forum framing; exact target locator needed",AI19="Forum exchange; exact locator needed")),AND(G19&lt;&gt;"NO EVIDENCE",G19&lt;&gt;"NOT APPLICABLE",OR(AK19="",AL19="",AM19="",AN19="",AK19="SYSTEM INFERENCE",AK19="ABSTRACT ONLY",AK19="SECONDARY REPORT",AK19="UNVERIFIED",AM19="Exact locator needed",AM19="HAU forum framing; exact target locator needed",AM19="Forum exchange; exact locator needed"))),"EVIDENCE DEBT","READY")))</x:f>
        <x:v>N/A</x:v>
      </x:c>
      <x:c r="AT19" s="74" t="str"/>
    </x:row>
    <x:row r="20" ht="50" customHeight="1">
      <x:c r="A20" s="86" t="n">
        <x:v>15</x:v>
      </x:c>
      <x:c r="B20" s="76" t="str">
        <x:v>Active</x:v>
      </x:c>
      <x:c r="C20" s="90" t="n">
        <x:v>4</x:v>
      </x:c>
      <x:c r="D20" s="82" t="str">
        <x:f>IF(C20="","",IFERROR(VLOOKUP(C20,'Database controls'!$A$5:$B$20,2,FALSE),"NEW / UNCATEGORIZED"))</x:f>
        <x:v>Testimony, belief, and epistemic authority</x:v>
      </x:c>
      <x:c r="E20" s="76" t="str">
        <x:v>INTERNAL GORGONWARS</x:v>
      </x:c>
      <x:c r="F20" s="76" t="str">
        <x:v>RETAINS</x:v>
      </x:c>
      <x:c r="G20" s="76" t="str">
        <x:v>RETAINS</x:v>
      </x:c>
      <x:c r="H20" s="82" t="str">
        <x:f>IF(A20="","",IF(OR(F20="REJECTS",G20="REJECTS"),"OUTSIDE / EXCOMMUNICABLE",IF(AND(OR(F20="RETAINS",F20="RETAINS WITH QUALIFICATION"),OR(G20="RETAINS",G20="RETAINS WITH QUALIFICATION")),"INTERNAL GORGONWARS",IF(AND(F20="NOT APPLICABLE",G20="NOT APPLICABLE"),"NOT APPLICABLE","PREMISES UNRESOLVED"))))</x:f>
        <x:v>INTERNAL GORGONWARS</x:v>
      </x:c>
      <x:c r="I20" s="82" t="str">
        <x:f>IF(A20="","",IF(E20=H20,"OK",IF(AO20&lt;&gt;"","OVERRIDDEN","REVIEW")))</x:f>
        <x:v>OK</x:v>
      </x:c>
      <x:c r="J20" s="76" t="str">
        <x:v>Internal feminist account of political listening</x:v>
      </x:c>
      <x:c r="K20" s="76" t="str">
        <x:v>Movement-adjacent</x:v>
      </x:c>
      <x:c r="L20" s="76" t="str">
        <x:v>Peer-reviewed journal article</x:v>
      </x:c>
      <x:c r="M20" s="76" t="str">
        <x:v>Peer-reviewed</x:v>
      </x:c>
      <x:c r="N20" s="90" t="n">
        <x:v>2024</x:v>
      </x:c>
      <x:c r="O20" s="76" t="str">
        <x:v>Tanya Serisier</x:v>
      </x:c>
      <x:c r="P20" s="76" t="str">
        <x:v>A Precondition for Justice: Political Listening, Feminism and Sexual Violence</x:v>
      </x:c>
      <x:c r="Q20" s="76" t="str">
        <x:v>Social &amp; Legal Studies</x:v>
      </x:c>
      <x:c r="R20" s="76" t="str">
        <x:v>English</x:v>
      </x:c>
      <x:c r="S20" s="76" t="str">
        <x:v>Belief alone is too thin—justice requires a feminist public that actively hears nuance and listens for marginalized voices through collective political work.</x:v>
      </x:c>
      <x:c r="T20" s="76" t="str">
        <x:v>Critiques a simplified belief practice while affirming political listening and marginalized knowledge.</x:v>
      </x:c>
      <x:c r="U20" s="76" t="str">
        <x:v>Source record verified</x:v>
      </x:c>
      <x:c r="V20" s="76" t="str">
        <x:v>www.doi.org/10.1177/09646639241278567</x:v>
      </x:c>
      <x:c r="W20" s="76" t="str">
        <x:v>10.1177/09646639241278567</x:v>
      </x:c>
      <x:c r="X20" s="94" t="n">
        <x:v>46230</x:v>
      </x:c>
      <x:c r="Y20" s="94" t="n">
        <x:v>46230</x:v>
      </x:c>
      <x:c r="Z20" s="76" t="str"/>
      <x:c r="AA20" s="76" t="str"/>
      <x:c r="AB20" s="76" t="n">
        <x:v>15</x:v>
      </x:c>
      <x:c r="AC20" s="76" t="str">
        <x:v>INTERNAL IMMANENT CRITIQUE</x:v>
      </x:c>
      <x:c r="AD20" s="76" t="str">
        <x:v>MIXED / QUALIFIED CRITIQUE</x:v>
      </x:c>
      <x:c r="AE20" s="76" t="str">
        <x:v>ADJACENT</x:v>
      </x:c>
      <x:c r="AF20" s="76" t="str">
        <x:v>Testimonial authority, credibility, and epistemic standing</x:v>
      </x:c>
      <x:c r="AG20" s="76" t="str">
        <x:v>DIRECT ENTAILMENT</x:v>
      </x:c>
      <x:c r="AH20" s="76" t="str">
        <x:v>Paraphrase: Treats personal disclosure or intimate experience as political knowledge or collective action.</x:v>
      </x:c>
      <x:c r="AI20" s="76" t="str">
        <x:v>Exact locator needed</x:v>
      </x:c>
      <x:c r="AJ20" s="76" t="str">
        <x:v>www.doi.org/10.1177/09646639241278567</x:v>
      </x:c>
      <x:c r="AK20" s="76" t="str">
        <x:v>DIRECT ENTAILMENT</x:v>
      </x:c>
      <x:c r="AL20" s="76" t="str">
        <x:v>Paraphrase: Treats marginalized or survivor position as distinctive epistemic or political authority.</x:v>
      </x:c>
      <x:c r="AM20" s="76" t="str">
        <x:v>Exact locator needed</x:v>
      </x:c>
      <x:c r="AN20" s="76" t="str">
        <x:v>www.doi.org/10.1177/09646639241278567</x:v>
      </x:c>
      <x:c r="AO20" s="76" t="str"/>
      <x:c r="AP20" s="76" t="str">
        <x:v>Research team</x:v>
      </x:c>
      <x:c r="AQ20" s="76" t="str">
        <x:v>GORGONWARS-PREMISE-1.0</x:v>
      </x:c>
      <x:c r="AR20" s="76" t="str"/>
      <x:c r="AS20" s="82" t="str">
        <x:f>IF(A20="","",IF(OR(E20="NOT APPLICABLE",E20="PREMISES UNRESOLVED"),"N/A",IF(OR(AND(F20&lt;&gt;"NO EVIDENCE",F20&lt;&gt;"NOT APPLICABLE",OR(AG20="",AH20="",AI20="",AJ20="",AG20="SYSTEM INFERENCE",AG20="ABSTRACT ONLY",AG20="SECONDARY REPORT",AG20="UNVERIFIED",AI20="Exact locator needed",AI20="HAU forum framing; exact target locator needed",AI20="Forum exchange; exact locator needed")),AND(G20&lt;&gt;"NO EVIDENCE",G20&lt;&gt;"NOT APPLICABLE",OR(AK20="",AL20="",AM20="",AN20="",AK20="SYSTEM INFERENCE",AK20="ABSTRACT ONLY",AK20="SECONDARY REPORT",AK20="UNVERIFIED",AM20="Exact locator needed",AM20="HAU forum framing; exact target locator needed",AM20="Forum exchange; exact locator needed"))),"EVIDENCE DEBT","READY")))</x:f>
        <x:v>EVIDENCE DEBT</x:v>
      </x:c>
      <x:c r="AT20" s="77" t="str"/>
    </x:row>
    <x:row r="21" ht="50" customHeight="1">
      <x:c r="A21" s="85" t="n">
        <x:v>16</x:v>
      </x:c>
      <x:c r="B21" s="73" t="str">
        <x:v>Active</x:v>
      </x:c>
      <x:c r="C21" s="89" t="n">
        <x:v>4</x:v>
      </x:c>
      <x:c r="D21" s="82" t="str">
        <x:f>IF(C21="","",IFERROR(VLOOKUP(C21,'Database controls'!$A$5:$B$20,2,FALSE),"NEW / UNCATEGORIZED"))</x:f>
        <x:v>Testimony, belief, and epistemic authority</x:v>
      </x:c>
      <x:c r="E21" s="73" t="str">
        <x:v>INTERNAL GORGONWARS</x:v>
      </x:c>
      <x:c r="F21" s="73" t="str">
        <x:v>RETAINS</x:v>
      </x:c>
      <x:c r="G21" s="73" t="str">
        <x:v>RETAINS WITH QUALIFICATION</x:v>
      </x:c>
      <x:c r="H21" s="82" t="str">
        <x:f>IF(A21="","",IF(OR(F21="REJECTS",G21="REJECTS"),"OUTSIDE / EXCOMMUNICABLE",IF(AND(OR(F21="RETAINS",F21="RETAINS WITH QUALIFICATION"),OR(G21="RETAINS",G21="RETAINS WITH QUALIFICATION")),"INTERNAL GORGONWARS",IF(AND(F21="NOT APPLICABLE",G21="NOT APPLICABLE"),"NOT APPLICABLE","PREMISES UNRESOLVED"))))</x:f>
        <x:v>INTERNAL GORGONWARS</x:v>
      </x:c>
      <x:c r="I21" s="82" t="str">
        <x:f>IF(A21="","",IF(E21=H21,"OK",IF(AO21&lt;&gt;"","OVERRIDDEN","REVIEW")))</x:f>
        <x:v>OK</x:v>
      </x:c>
      <x:c r="J21" s="73" t="str">
        <x:v>Philosophical defense limiting the meaning of #BelieveWomen</x:v>
      </x:c>
      <x:c r="K21" s="73" t="str">
        <x:v>Direct #MeToo defense / internal reply</x:v>
      </x:c>
      <x:c r="L21" s="73" t="str">
        <x:v>Book chapter</x:v>
      </x:c>
      <x:c r="M21" s="73" t="str">
        <x:v>Unresolved</x:v>
      </x:c>
      <x:c r="N21" s="89" t="n">
        <x:v>2021</x:v>
      </x:c>
      <x:c r="O21" s="73" t="str">
        <x:v>Renée Jorgensen Bolinger</x:v>
      </x:c>
      <x:c r="P21" s="73" t="str">
        <x:v>#BelieveWomen and the Ethics of Belief</x:v>
      </x:c>
      <x:c r="Q21" s="73" t="str">
        <x:v>Truth and Evidence: NOMOS LXIV</x:v>
      </x:c>
      <x:c r="R21" s="73" t="str">
        <x:v>English</x:v>
      </x:c>
      <x:c r="S21" s="73" t="str">
        <x:v>#BelieveWomen should mean count women’s testimony as real evidence and correct sexist under-trust, not believe uncritically or against the whole evidence.</x:v>
      </x:c>
      <x:c r="T21" s="73" t="str">
        <x:v>A qualified defense rather than foundational rejection.</x:v>
      </x:c>
      <x:c r="U21" s="73" t="str">
        <x:v>Source record verified</x:v>
      </x:c>
      <x:c r="V21" s="73" t="str">
        <x:v>www.doi.org/10.18574/nyu/9781479811595.003.0006</x:v>
      </x:c>
      <x:c r="W21" s="73" t="str">
        <x:v>10.18574/nyu/9781479811595.003.0006</x:v>
      </x:c>
      <x:c r="X21" s="93" t="n">
        <x:v>46230</x:v>
      </x:c>
      <x:c r="Y21" s="93" t="n">
        <x:v>46230</x:v>
      </x:c>
      <x:c r="Z21" s="73" t="str"/>
      <x:c r="AA21" s="73" t="str"/>
      <x:c r="AB21" s="73" t="n">
        <x:v>16</x:v>
      </x:c>
      <x:c r="AC21" s="73" t="str">
        <x:v>DEFENSE / INTERNAL REPLY</x:v>
      </x:c>
      <x:c r="AD21" s="73" t="str">
        <x:v>DEFENSE</x:v>
      </x:c>
      <x:c r="AE21" s="73" t="str">
        <x:v>YES</x:v>
      </x:c>
      <x:c r="AF21" s="73" t="str">
        <x:v>Testimonial authority, credibility, and epistemic standing</x:v>
      </x:c>
      <x:c r="AG21" s="73" t="str">
        <x:v>DIRECT ENTAILMENT</x:v>
      </x:c>
      <x:c r="AH21" s="73" t="str">
        <x:v>Paraphrase: Treats personal disclosure or intimate experience as political knowledge or collective action.</x:v>
      </x:c>
      <x:c r="AI21" s="73" t="str">
        <x:v>Exact locator needed</x:v>
      </x:c>
      <x:c r="AJ21" s="73" t="str">
        <x:v>www.doi.org/10.18574/nyu/9781479811595.003.0006</x:v>
      </x:c>
      <x:c r="AK21" s="73" t="str">
        <x:v>DIRECT ENTAILMENT</x:v>
      </x:c>
      <x:c r="AL21" s="73" t="str">
        <x:v>Paraphrase: Gives positional experience corrective weight while retaining evidentiary limits.</x:v>
      </x:c>
      <x:c r="AM21" s="73" t="str">
        <x:v>Exact locator needed</x:v>
      </x:c>
      <x:c r="AN21" s="73" t="str">
        <x:v>www.doi.org/10.18574/nyu/9781479811595.003.0006</x:v>
      </x:c>
      <x:c r="AO21" s="73" t="str"/>
      <x:c r="AP21" s="73" t="str">
        <x:v>Research team</x:v>
      </x:c>
      <x:c r="AQ21" s="73" t="str">
        <x:v>GORGONWARS-PREMISE-1.0</x:v>
      </x:c>
      <x:c r="AR21" s="73" t="str"/>
      <x:c r="AS21" s="82" t="str">
        <x:f>IF(A21="","",IF(OR(E21="NOT APPLICABLE",E21="PREMISES UNRESOLVED"),"N/A",IF(OR(AND(F21&lt;&gt;"NO EVIDENCE",F21&lt;&gt;"NOT APPLICABLE",OR(AG21="",AH21="",AI21="",AJ21="",AG21="SYSTEM INFERENCE",AG21="ABSTRACT ONLY",AG21="SECONDARY REPORT",AG21="UNVERIFIED",AI21="Exact locator needed",AI21="HAU forum framing; exact target locator needed",AI21="Forum exchange; exact locator needed")),AND(G21&lt;&gt;"NO EVIDENCE",G21&lt;&gt;"NOT APPLICABLE",OR(AK21="",AL21="",AM21="",AN21="",AK21="SYSTEM INFERENCE",AK21="ABSTRACT ONLY",AK21="SECONDARY REPORT",AK21="UNVERIFIED",AM21="Exact locator needed",AM21="HAU forum framing; exact target locator needed",AM21="Forum exchange; exact locator needed"))),"EVIDENCE DEBT","READY")))</x:f>
        <x:v>EVIDENCE DEBT</x:v>
      </x:c>
      <x:c r="AT21" s="74" t="str"/>
    </x:row>
    <x:row r="22" ht="50" customHeight="1">
      <x:c r="A22" s="86" t="n">
        <x:v>17</x:v>
      </x:c>
      <x:c r="B22" s="76" t="str">
        <x:v>Active</x:v>
      </x:c>
      <x:c r="C22" s="90" t="n">
        <x:v>4</x:v>
      </x:c>
      <x:c r="D22" s="82" t="str">
        <x:f>IF(C22="","",IFERROR(VLOOKUP(C22,'Database controls'!$A$5:$B$20,2,FALSE),"NEW / UNCATEGORIZED"))</x:f>
        <x:v>Testimony, belief, and epistemic authority</x:v>
      </x:c>
      <x:c r="E22" s="76" t="str">
        <x:v>INTERNAL GORGONWARS</x:v>
      </x:c>
      <x:c r="F22" s="76" t="str">
        <x:v>RETAINS</x:v>
      </x:c>
      <x:c r="G22" s="76" t="str">
        <x:v>RETAINS</x:v>
      </x:c>
      <x:c r="H22" s="82" t="str">
        <x:f>IF(A22="","",IF(OR(F22="REJECTS",G22="REJECTS"),"OUTSIDE / EXCOMMUNICABLE",IF(AND(OR(F22="RETAINS",F22="RETAINS WITH QUALIFICATION"),OR(G22="RETAINS",G22="RETAINS WITH QUALIFICATION")),"INTERNAL GORGONWARS",IF(AND(F22="NOT APPLICABLE",G22="NOT APPLICABLE"),"NOT APPLICABLE","PREMISES UNRESOLVED"))))</x:f>
        <x:v>INTERNAL GORGONWARS</x:v>
      </x:c>
      <x:c r="I22" s="82" t="str">
        <x:f>IF(A22="","",IF(E22=H22,"OK",IF(AO22&lt;&gt;"","OVERRIDDEN","REVIEW")))</x:f>
        <x:v>OK</x:v>
      </x:c>
      <x:c r="J22" s="76" t="str">
        <x:v>Philosophical defense of outright belief in ordinary social contexts</x:v>
      </x:c>
      <x:c r="K22" s="76" t="str">
        <x:v>Direct #MeToo defense / internal reply</x:v>
      </x:c>
      <x:c r="L22" s="76" t="str">
        <x:v>Peer-reviewed journal article</x:v>
      </x:c>
      <x:c r="M22" s="76" t="str">
        <x:v>Peer-reviewed</x:v>
      </x:c>
      <x:c r="N22" s="90" t="n">
        <x:v>2022</x:v>
      </x:c>
      <x:c r="O22" s="76" t="str">
        <x:v>Alexandra Lloyd</x:v>
      </x:c>
      <x:c r="P22" s="76" t="str">
        <x:v>#MeToo &amp; the Role of Outright Belief</x:v>
      </x:c>
      <x:c r="Q22" s="76" t="str">
        <x:v>Ethical Theory and Moral Practice 25(2):181–197</x:v>
      </x:c>
      <x:c r="R22" s="76" t="str">
        <x:v>English</x:v>
      </x:c>
      <x:c r="S22" s="76" t="str">
        <x:v>Ordinary community members may need outright belief to support an accuser properly, because public suspension of judgment can abandon her and warn other women they will also be doubted.</x:v>
      </x:c>
      <x:c r="T22" s="76" t="str">
        <x:v>Addresses ordinary supportive relationships rather than formal legal adjudication.</x:v>
      </x:c>
      <x:c r="U22" s="76" t="str">
        <x:v>Source record verified</x:v>
      </x:c>
      <x:c r="V22" s="76" t="str">
        <x:v>www.doi.org/10.1007/s10677-022-10276-x</x:v>
      </x:c>
      <x:c r="W22" s="76" t="str">
        <x:v>10.1007/s10677-022-10276-x</x:v>
      </x:c>
      <x:c r="X22" s="94" t="n">
        <x:v>46230</x:v>
      </x:c>
      <x:c r="Y22" s="94" t="n">
        <x:v>46230</x:v>
      </x:c>
      <x:c r="Z22" s="76" t="str"/>
      <x:c r="AA22" s="76" t="str"/>
      <x:c r="AB22" s="76" t="n">
        <x:v>17</x:v>
      </x:c>
      <x:c r="AC22" s="76" t="str">
        <x:v>DEFENSE / INTERNAL REPLY</x:v>
      </x:c>
      <x:c r="AD22" s="76" t="str">
        <x:v>DEFENSE</x:v>
      </x:c>
      <x:c r="AE22" s="76" t="str">
        <x:v>YES</x:v>
      </x:c>
      <x:c r="AF22" s="76" t="str">
        <x:v>Testimonial authority, credibility, and epistemic standing</x:v>
      </x:c>
      <x:c r="AG22" s="76" t="str">
        <x:v>DIRECT ENTAILMENT</x:v>
      </x:c>
      <x:c r="AH22" s="76" t="str">
        <x:v>Paraphrase: Treats personal disclosure or intimate experience as political knowledge or collective action.</x:v>
      </x:c>
      <x:c r="AI22" s="76" t="str">
        <x:v>Exact locator needed</x:v>
      </x:c>
      <x:c r="AJ22" s="76" t="str">
        <x:v>www.doi.org/10.1007/s10677-022-10276-x</x:v>
      </x:c>
      <x:c r="AK22" s="76" t="str">
        <x:v>DIRECT ENTAILMENT</x:v>
      </x:c>
      <x:c r="AL22" s="76" t="str">
        <x:v>Paraphrase: Treats marginalized or survivor position as distinctive epistemic or political authority.</x:v>
      </x:c>
      <x:c r="AM22" s="76" t="str">
        <x:v>Exact locator needed</x:v>
      </x:c>
      <x:c r="AN22" s="76" t="str">
        <x:v>www.doi.org/10.1007/s10677-022-10276-x</x:v>
      </x:c>
      <x:c r="AO22" s="76" t="str"/>
      <x:c r="AP22" s="76" t="str">
        <x:v>Research team</x:v>
      </x:c>
      <x:c r="AQ22" s="76" t="str">
        <x:v>GORGONWARS-PREMISE-1.0</x:v>
      </x:c>
      <x:c r="AR22" s="76" t="str"/>
      <x:c r="AS22" s="82" t="str">
        <x:f>IF(A22="","",IF(OR(E22="NOT APPLICABLE",E22="PREMISES UNRESOLVED"),"N/A",IF(OR(AND(F22&lt;&gt;"NO EVIDENCE",F22&lt;&gt;"NOT APPLICABLE",OR(AG22="",AH22="",AI22="",AJ22="",AG22="SYSTEM INFERENCE",AG22="ABSTRACT ONLY",AG22="SECONDARY REPORT",AG22="UNVERIFIED",AI22="Exact locator needed",AI22="HAU forum framing; exact target locator needed",AI22="Forum exchange; exact locator needed")),AND(G22&lt;&gt;"NO EVIDENCE",G22&lt;&gt;"NOT APPLICABLE",OR(AK22="",AL22="",AM22="",AN22="",AK22="SYSTEM INFERENCE",AK22="ABSTRACT ONLY",AK22="SECONDARY REPORT",AK22="UNVERIFIED",AM22="Exact locator needed",AM22="HAU forum framing; exact target locator needed",AM22="Forum exchange; exact locator needed"))),"EVIDENCE DEBT","READY")))</x:f>
        <x:v>EVIDENCE DEBT</x:v>
      </x:c>
      <x:c r="AT22" s="77" t="str"/>
    </x:row>
    <x:row r="23" ht="50" customHeight="1">
      <x:c r="A23" s="85" t="n">
        <x:v>18</x:v>
      </x:c>
      <x:c r="B23" s="73" t="str">
        <x:v>Active</x:v>
      </x:c>
      <x:c r="C23" s="89" t="n">
        <x:v>4</x:v>
      </x:c>
      <x:c r="D23" s="82" t="str">
        <x:f>IF(C23="","",IFERROR(VLOOKUP(C23,'Database controls'!$A$5:$B$20,2,FALSE),"NEW / UNCATEGORIZED"))</x:f>
        <x:v>Testimony, belief, and epistemic authority</x:v>
      </x:c>
      <x:c r="E23" s="73" t="str">
        <x:v>INTERNAL GORGONWARS</x:v>
      </x:c>
      <x:c r="F23" s="73" t="str">
        <x:v>RETAINS</x:v>
      </x:c>
      <x:c r="G23" s="73" t="str">
        <x:v>RETAINS</x:v>
      </x:c>
      <x:c r="H23" s="82" t="str">
        <x:f>IF(A23="","",IF(OR(F23="REJECTS",G23="REJECTS"),"OUTSIDE / EXCOMMUNICABLE",IF(AND(OR(F23="RETAINS",F23="RETAINS WITH QUALIFICATION"),OR(G23="RETAINS",G23="RETAINS WITH QUALIFICATION")),"INTERNAL GORGONWARS",IF(AND(F23="NOT APPLICABLE",G23="NOT APPLICABLE"),"NOT APPLICABLE","PREMISES UNRESOLVED"))))</x:f>
        <x:v>INTERNAL GORGONWARS</x:v>
      </x:c>
      <x:c r="I23" s="82" t="str">
        <x:f>IF(A23="","",IF(E23=H23,"OK",IF(AO23&lt;&gt;"","OVERRIDDEN","REVIEW")))</x:f>
        <x:v>OK</x:v>
      </x:c>
      <x:c r="J23" s="73" t="str">
        <x:v>Epistemic defense of increased survivor credibility</x:v>
      </x:c>
      <x:c r="K23" s="73" t="str">
        <x:v>Direct #MeToo defense / internal reply</x:v>
      </x:c>
      <x:c r="L23" s="73" t="str">
        <x:v>Peer-reviewed journal article</x:v>
      </x:c>
      <x:c r="M23" s="73" t="str">
        <x:v>Peer-reviewed</x:v>
      </x:c>
      <x:c r="N23" s="89" t="n">
        <x:v>2020</x:v>
      </x:c>
      <x:c r="O23" s="73" t="str">
        <x:v>Karyn L. Freedman</x:v>
      </x:c>
      <x:c r="P23" s="73" t="str">
        <x:v>The Epistemic Significance of #MeToo</x:v>
      </x:c>
      <x:c r="Q23" s="73" t="str">
        <x:v>Feminist Philosophy Quarterly 6(2)</x:v>
      </x:c>
      <x:c r="R23" s="73" t="str">
        <x:v>English</x:v>
      </x:c>
      <x:c r="S23" s="73" t="str">
        <x:v>Public disclosure is costly and collectively replaces false social stories, so survivors who incur those costs can be owed increased credibility.</x:v>
      </x:c>
      <x:c r="T23" s="73" t="str">
        <x:v>A defense of increased credibility, not a claim that identity makes every allegation true.</x:v>
      </x:c>
      <x:c r="U23" s="73" t="str">
        <x:v>Source record verified</x:v>
      </x:c>
      <x:c r="V23" s="73" t="str">
        <x:v>www.doi.org/10.5206/fpq/2020.2.8030</x:v>
      </x:c>
      <x:c r="W23" s="73" t="str">
        <x:v>10.5206/fpq/2020.2.8030</x:v>
      </x:c>
      <x:c r="X23" s="93" t="n">
        <x:v>46230</x:v>
      </x:c>
      <x:c r="Y23" s="93" t="n">
        <x:v>46230</x:v>
      </x:c>
      <x:c r="Z23" s="73" t="str"/>
      <x:c r="AA23" s="73" t="str"/>
      <x:c r="AB23" s="73" t="n">
        <x:v>18</x:v>
      </x:c>
      <x:c r="AC23" s="73" t="str">
        <x:v>DEFENSE / INTERNAL REPLY</x:v>
      </x:c>
      <x:c r="AD23" s="73" t="str">
        <x:v>DEFENSE</x:v>
      </x:c>
      <x:c r="AE23" s="73" t="str">
        <x:v>YES</x:v>
      </x:c>
      <x:c r="AF23" s="73" t="str">
        <x:v>Testimonial authority, credibility, and epistemic standing</x:v>
      </x:c>
      <x:c r="AG23" s="73" t="str">
        <x:v>DIRECT ENTAILMENT</x:v>
      </x:c>
      <x:c r="AH23" s="73" t="str">
        <x:v>Paraphrase: Treats personal disclosure or intimate experience as political knowledge or collective action.</x:v>
      </x:c>
      <x:c r="AI23" s="73" t="str">
        <x:v>Exact locator needed</x:v>
      </x:c>
      <x:c r="AJ23" s="73" t="str">
        <x:v>www.doi.org/10.5206/fpq/2020.2.8030</x:v>
      </x:c>
      <x:c r="AK23" s="73" t="str">
        <x:v>DIRECT ENTAILMENT</x:v>
      </x:c>
      <x:c r="AL23" s="73" t="str">
        <x:v>Paraphrase: Treats marginalized or survivor position as distinctive epistemic or political authority.</x:v>
      </x:c>
      <x:c r="AM23" s="73" t="str">
        <x:v>Exact locator needed</x:v>
      </x:c>
      <x:c r="AN23" s="73" t="str">
        <x:v>www.doi.org/10.5206/fpq/2020.2.8030</x:v>
      </x:c>
      <x:c r="AO23" s="73" t="str"/>
      <x:c r="AP23" s="73" t="str">
        <x:v>Research team</x:v>
      </x:c>
      <x:c r="AQ23" s="73" t="str">
        <x:v>GORGONWARS-PREMISE-1.0</x:v>
      </x:c>
      <x:c r="AR23" s="73" t="str"/>
      <x:c r="AS23" s="82" t="str">
        <x:f>IF(A23="","",IF(OR(E23="NOT APPLICABLE",E23="PREMISES UNRESOLVED"),"N/A",IF(OR(AND(F23&lt;&gt;"NO EVIDENCE",F23&lt;&gt;"NOT APPLICABLE",OR(AG23="",AH23="",AI23="",AJ23="",AG23="SYSTEM INFERENCE",AG23="ABSTRACT ONLY",AG23="SECONDARY REPORT",AG23="UNVERIFIED",AI23="Exact locator needed",AI23="HAU forum framing; exact target locator needed",AI23="Forum exchange; exact locator needed")),AND(G23&lt;&gt;"NO EVIDENCE",G23&lt;&gt;"NOT APPLICABLE",OR(AK23="",AL23="",AM23="",AN23="",AK23="SYSTEM INFERENCE",AK23="ABSTRACT ONLY",AK23="SECONDARY REPORT",AK23="UNVERIFIED",AM23="Exact locator needed",AM23="HAU forum framing; exact target locator needed",AM23="Forum exchange; exact locator needed"))),"EVIDENCE DEBT","READY")))</x:f>
        <x:v>EVIDENCE DEBT</x:v>
      </x:c>
      <x:c r="AT23" s="74" t="str"/>
    </x:row>
    <x:row r="24" ht="50" customHeight="1">
      <x:c r="A24" s="86" t="n">
        <x:v>19</x:v>
      </x:c>
      <x:c r="B24" s="76" t="str">
        <x:v>Active</x:v>
      </x:c>
      <x:c r="C24" s="90" t="n">
        <x:v>4</x:v>
      </x:c>
      <x:c r="D24" s="82" t="str">
        <x:f>IF(C24="","",IFERROR(VLOOKUP(C24,'Database controls'!$A$5:$B$20,2,FALSE),"NEW / UNCATEGORIZED"))</x:f>
        <x:v>Testimony, belief, and epistemic authority</x:v>
      </x:c>
      <x:c r="E24" s="76" t="str">
        <x:v>INTERNAL GORGONWARS</x:v>
      </x:c>
      <x:c r="F24" s="76" t="str">
        <x:v>RETAINS</x:v>
      </x:c>
      <x:c r="G24" s="76" t="str">
        <x:v>RETAINS</x:v>
      </x:c>
      <x:c r="H24" s="82" t="str">
        <x:f>IF(A24="","",IF(OR(F24="REJECTS",G24="REJECTS"),"OUTSIDE / EXCOMMUNICABLE",IF(AND(OR(F24="RETAINS",F24="RETAINS WITH QUALIFICATION"),OR(G24="RETAINS",G24="RETAINS WITH QUALIFICATION")),"INTERNAL GORGONWARS",IF(AND(F24="NOT APPLICABLE",G24="NOT APPLICABLE"),"NOT APPLICABLE","PREMISES UNRESOLVED"))))</x:f>
        <x:v>INTERNAL GORGONWARS</x:v>
      </x:c>
      <x:c r="I24" s="82" t="str">
        <x:f>IF(A24="","",IF(E24=H24,"OK",IF(AO24&lt;&gt;"","OVERRIDDEN","REVIEW")))</x:f>
        <x:v>OK</x:v>
      </x:c>
      <x:c r="J24" s="76" t="str">
        <x:v>Standpoint-compatible account of conceptual knowledge</x:v>
      </x:c>
      <x:c r="K24" s="76" t="str">
        <x:v>Direct #MeToo defense / internal reply</x:v>
      </x:c>
      <x:c r="L24" s="76" t="str">
        <x:v>Peer-reviewed journal article</x:v>
      </x:c>
      <x:c r="M24" s="76" t="str">
        <x:v>Peer-reviewed</x:v>
      </x:c>
      <x:c r="N24" s="90" t="n">
        <x:v>2022</x:v>
      </x:c>
      <x:c r="O24" s="76" t="str">
        <x:v>Hilkje C. Hänel</x:v>
      </x:c>
      <x:c r="P24" s="76" t="str">
        <x:v>#MeToo and testimonial injustice: An investigation of moral and conceptual knowledge</x:v>
      </x:c>
      <x:c r="Q24" s="76" t="str">
        <x:v>Philosophy &amp; Social Criticism 48(6):833–859</x:v>
      </x:c>
      <x:c r="R24" s="76" t="str">
        <x:v>English</x:v>
      </x:c>
      <x:c r="S24" s="76" t="str">
        <x:v>Marginalized testimony can reveal harms current concepts cannot yet name, so #MeToo can create moral and conceptual progress rather than merely report settled categories.</x:v>
      </x:c>
      <x:c r="T24" s="76" t="str">
        <x:v>Explains epistemic gain; it does not independently resolve how disputed individual claims should be adjudicated.</x:v>
      </x:c>
      <x:c r="U24" s="76" t="str">
        <x:v>Source record verified</x:v>
      </x:c>
      <x:c r="V24" s="76" t="str">
        <x:v>www.doi.org/10.1177/01914537211017578</x:v>
      </x:c>
      <x:c r="W24" s="76" t="str">
        <x:v>10.1177/01914537211017578</x:v>
      </x:c>
      <x:c r="X24" s="94" t="n">
        <x:v>46230</x:v>
      </x:c>
      <x:c r="Y24" s="94" t="n">
        <x:v>46230</x:v>
      </x:c>
      <x:c r="Z24" s="76" t="str"/>
      <x:c r="AA24" s="76" t="str"/>
      <x:c r="AB24" s="76" t="n">
        <x:v>19</x:v>
      </x:c>
      <x:c r="AC24" s="76" t="str">
        <x:v>DEFENSE / INTERNAL REPLY</x:v>
      </x:c>
      <x:c r="AD24" s="76" t="str">
        <x:v>DEFENSE</x:v>
      </x:c>
      <x:c r="AE24" s="76" t="str">
        <x:v>YES</x:v>
      </x:c>
      <x:c r="AF24" s="76" t="str">
        <x:v>Testimonial authority, credibility, and epistemic standing</x:v>
      </x:c>
      <x:c r="AG24" s="76" t="str">
        <x:v>DIRECT ENTAILMENT</x:v>
      </x:c>
      <x:c r="AH24" s="76" t="str">
        <x:v>Paraphrase: Treats personal disclosure or intimate experience as political knowledge or collective action.</x:v>
      </x:c>
      <x:c r="AI24" s="76" t="str">
        <x:v>Exact locator needed</x:v>
      </x:c>
      <x:c r="AJ24" s="76" t="str">
        <x:v>www.doi.org/10.1177/01914537211017578</x:v>
      </x:c>
      <x:c r="AK24" s="76" t="str">
        <x:v>DIRECT ENTAILMENT</x:v>
      </x:c>
      <x:c r="AL24" s="76" t="str">
        <x:v>Paraphrase: Treats marginalized or survivor position as distinctive epistemic or political authority.</x:v>
      </x:c>
      <x:c r="AM24" s="76" t="str">
        <x:v>Exact locator needed</x:v>
      </x:c>
      <x:c r="AN24" s="76" t="str">
        <x:v>www.doi.org/10.1177/01914537211017578</x:v>
      </x:c>
      <x:c r="AO24" s="76" t="str"/>
      <x:c r="AP24" s="76" t="str">
        <x:v>Research team</x:v>
      </x:c>
      <x:c r="AQ24" s="76" t="str">
        <x:v>GORGONWARS-PREMISE-1.0</x:v>
      </x:c>
      <x:c r="AR24" s="76" t="str"/>
      <x:c r="AS24" s="82" t="str">
        <x:f>IF(A24="","",IF(OR(E24="NOT APPLICABLE",E24="PREMISES UNRESOLVED"),"N/A",IF(OR(AND(F24&lt;&gt;"NO EVIDENCE",F24&lt;&gt;"NOT APPLICABLE",OR(AG24="",AH24="",AI24="",AJ24="",AG24="SYSTEM INFERENCE",AG24="ABSTRACT ONLY",AG24="SECONDARY REPORT",AG24="UNVERIFIED",AI24="Exact locator needed",AI24="HAU forum framing; exact target locator needed",AI24="Forum exchange; exact locator needed")),AND(G24&lt;&gt;"NO EVIDENCE",G24&lt;&gt;"NOT APPLICABLE",OR(AK24="",AL24="",AM24="",AN24="",AK24="SYSTEM INFERENCE",AK24="ABSTRACT ONLY",AK24="SECONDARY REPORT",AK24="UNVERIFIED",AM24="Exact locator needed",AM24="HAU forum framing; exact target locator needed",AM24="Forum exchange; exact locator needed"))),"EVIDENCE DEBT","READY")))</x:f>
        <x:v>EVIDENCE DEBT</x:v>
      </x:c>
      <x:c r="AT24" s="77" t="str"/>
    </x:row>
    <x:row r="25" ht="50" customHeight="1">
      <x:c r="A25" s="85" t="n">
        <x:v>20</x:v>
      </x:c>
      <x:c r="B25" s="73" t="str">
        <x:v>Active</x:v>
      </x:c>
      <x:c r="C25" s="89" t="n">
        <x:v>4</x:v>
      </x:c>
      <x:c r="D25" s="82" t="str">
        <x:f>IF(C25="","",IFERROR(VLOOKUP(C25,'Database controls'!$A$5:$B$20,2,FALSE),"NEW / UNCATEGORIZED"))</x:f>
        <x:v>Testimony, belief, and epistemic authority</x:v>
      </x:c>
      <x:c r="E25" s="73" t="str">
        <x:v>INTERNAL GORGONWARS</x:v>
      </x:c>
      <x:c r="F25" s="73" t="str">
        <x:v>RETAINS</x:v>
      </x:c>
      <x:c r="G25" s="73" t="str">
        <x:v>RETAINS</x:v>
      </x:c>
      <x:c r="H25" s="82" t="str">
        <x:f>IF(A25="","",IF(OR(F25="REJECTS",G25="REJECTS"),"OUTSIDE / EXCOMMUNICABLE",IF(AND(OR(F25="RETAINS",F25="RETAINS WITH QUALIFICATION"),OR(G25="RETAINS",G25="RETAINS WITH QUALIFICATION")),"INTERNAL GORGONWARS",IF(AND(F25="NOT APPLICABLE",G25="NOT APPLICABLE"),"NOT APPLICABLE","PREMISES UNRESOLVED"))))</x:f>
        <x:v>INTERNAL GORGONWARS</x:v>
      </x:c>
      <x:c r="I25" s="82" t="str">
        <x:f>IF(A25="","",IF(E25=H25,"OK",IF(AO25&lt;&gt;"","OVERRIDDEN","REVIEW")))</x:f>
        <x:v>OK</x:v>
      </x:c>
      <x:c r="J25" s="73" t="str">
        <x:v>Standpoint-compatible account of collective recognition</x:v>
      </x:c>
      <x:c r="K25" s="73" t="str">
        <x:v>Direct #MeToo defense / internal reply</x:v>
      </x:c>
      <x:c r="L25" s="73" t="str">
        <x:v>Peer-reviewed journal article</x:v>
      </x:c>
      <x:c r="M25" s="73" t="str">
        <x:v>Peer-reviewed</x:v>
      </x:c>
      <x:c r="N25" s="89" t="n">
        <x:v>2018</x:v>
      </x:c>
      <x:c r="O25" s="73" t="str">
        <x:v>Debra L. Jackson</x:v>
      </x:c>
      <x:c r="P25" s="73" t="str">
        <x:v>‘Me Too’: Epistemic Injustice and the Struggle for Recognition</x:v>
      </x:c>
      <x:c r="Q25" s="73" t="str">
        <x:v>Feminist Philosophy Quarterly 4(4)</x:v>
      </x:c>
      <x:c r="R25" s="73" t="str">
        <x:v>English</x:v>
      </x:c>
      <x:c r="S25" s="73" t="str">
        <x:v>Collective ‘me too’ lets isolated survivors recognize one another as knowers and turn private experience into shared social knowledge.</x:v>
      </x:c>
      <x:c r="T25" s="73" t="str">
        <x:v>Defends the movement’s epistemic function rather than criticizing its foundational premises.</x:v>
      </x:c>
      <x:c r="U25" s="73" t="str">
        <x:v>Source record verified</x:v>
      </x:c>
      <x:c r="V25" s="73" t="str">
        <x:v>www.doi.org/10.5206/fpq/2018.4.6231</x:v>
      </x:c>
      <x:c r="W25" s="73" t="str">
        <x:v>10.5206/fpq/2018.4.6231</x:v>
      </x:c>
      <x:c r="X25" s="93" t="n">
        <x:v>46230</x:v>
      </x:c>
      <x:c r="Y25" s="93" t="n">
        <x:v>46230</x:v>
      </x:c>
      <x:c r="Z25" s="73" t="str"/>
      <x:c r="AA25" s="73" t="str"/>
      <x:c r="AB25" s="73" t="n">
        <x:v>20</x:v>
      </x:c>
      <x:c r="AC25" s="73" t="str">
        <x:v>DEFENSE / INTERNAL REPLY</x:v>
      </x:c>
      <x:c r="AD25" s="73" t="str">
        <x:v>DEFENSE</x:v>
      </x:c>
      <x:c r="AE25" s="73" t="str">
        <x:v>YES</x:v>
      </x:c>
      <x:c r="AF25" s="73" t="str">
        <x:v>Testimonial authority, credibility, and epistemic standing</x:v>
      </x:c>
      <x:c r="AG25" s="73" t="str">
        <x:v>DIRECT ENTAILMENT</x:v>
      </x:c>
      <x:c r="AH25" s="73" t="str">
        <x:v>Paraphrase: Treats personal disclosure or intimate experience as political knowledge or collective action.</x:v>
      </x:c>
      <x:c r="AI25" s="73" t="str">
        <x:v>Exact locator needed</x:v>
      </x:c>
      <x:c r="AJ25" s="73" t="str">
        <x:v>www.doi.org/10.5206/fpq/2018.4.6231</x:v>
      </x:c>
      <x:c r="AK25" s="73" t="str">
        <x:v>DIRECT ENTAILMENT</x:v>
      </x:c>
      <x:c r="AL25" s="73" t="str">
        <x:v>Paraphrase: Treats marginalized or survivor position as distinctive epistemic or political authority.</x:v>
      </x:c>
      <x:c r="AM25" s="73" t="str">
        <x:v>Exact locator needed</x:v>
      </x:c>
      <x:c r="AN25" s="73" t="str">
        <x:v>www.doi.org/10.5206/fpq/2018.4.6231</x:v>
      </x:c>
      <x:c r="AO25" s="73" t="str"/>
      <x:c r="AP25" s="73" t="str">
        <x:v>Research team</x:v>
      </x:c>
      <x:c r="AQ25" s="73" t="str">
        <x:v>GORGONWARS-PREMISE-1.0</x:v>
      </x:c>
      <x:c r="AR25" s="73" t="str"/>
      <x:c r="AS25" s="82" t="str">
        <x:f>IF(A25="","",IF(OR(E25="NOT APPLICABLE",E25="PREMISES UNRESOLVED"),"N/A",IF(OR(AND(F25&lt;&gt;"NO EVIDENCE",F25&lt;&gt;"NOT APPLICABLE",OR(AG25="",AH25="",AI25="",AJ25="",AG25="SYSTEM INFERENCE",AG25="ABSTRACT ONLY",AG25="SECONDARY REPORT",AG25="UNVERIFIED",AI25="Exact locator needed",AI25="HAU forum framing; exact target locator needed",AI25="Forum exchange; exact locator needed")),AND(G25&lt;&gt;"NO EVIDENCE",G25&lt;&gt;"NOT APPLICABLE",OR(AK25="",AL25="",AM25="",AN25="",AK25="SYSTEM INFERENCE",AK25="ABSTRACT ONLY",AK25="SECONDARY REPORT",AK25="UNVERIFIED",AM25="Exact locator needed",AM25="HAU forum framing; exact target locator needed",AM25="Forum exchange; exact locator needed"))),"EVIDENCE DEBT","READY")))</x:f>
        <x:v>EVIDENCE DEBT</x:v>
      </x:c>
      <x:c r="AT25" s="74" t="str"/>
    </x:row>
    <x:row r="26" ht="50" customHeight="1">
      <x:c r="A26" s="86" t="n">
        <x:v>21</x:v>
      </x:c>
      <x:c r="B26" s="76" t="str">
        <x:v>Active</x:v>
      </x:c>
      <x:c r="C26" s="90" t="n">
        <x:v>4</x:v>
      </x:c>
      <x:c r="D26" s="82" t="str">
        <x:f>IF(C26="","",IFERROR(VLOOKUP(C26,'Database controls'!$A$5:$B$20,2,FALSE),"NEW / UNCATEGORIZED"))</x:f>
        <x:v>Testimony, belief, and epistemic authority</x:v>
      </x:c>
      <x:c r="E26" s="76" t="str">
        <x:v>PREMISES UNRESOLVED</x:v>
      </x:c>
      <x:c r="F26" s="76" t="str">
        <x:v>NO EVIDENCE</x:v>
      </x:c>
      <x:c r="G26" s="76" t="str">
        <x:v>NO EVIDENCE</x:v>
      </x:c>
      <x:c r="H26" s="82" t="str">
        <x:f>IF(A26="","",IF(OR(F26="REJECTS",G26="REJECTS"),"OUTSIDE / EXCOMMUNICABLE",IF(AND(OR(F26="RETAINS",F26="RETAINS WITH QUALIFICATION"),OR(G26="RETAINS",G26="RETAINS WITH QUALIFICATION")),"INTERNAL GORGONWARS",IF(AND(F26="NOT APPLICABLE",G26="NOT APPLICABLE"),"NOT APPLICABLE","PREMISES UNRESOLVED"))))</x:f>
        <x:v>PREMISES UNRESOLVED</x:v>
      </x:c>
      <x:c r="I26" s="82" t="str">
        <x:f>IF(A26="","",IF(E26=H26,"OK",IF(AO26&lt;&gt;"","OVERRIDDEN","REVIEW")))</x:f>
        <x:v>OK</x:v>
      </x:c>
      <x:c r="J26" s="76" t="str">
        <x:v>Adjacent theory of testimonial evidence corrupted by injustice</x:v>
      </x:c>
      <x:c r="K26" s="76" t="str">
        <x:v>Movement-adjacent</x:v>
      </x:c>
      <x:c r="L26" s="76" t="str">
        <x:v>Peer-reviewed journal article</x:v>
      </x:c>
      <x:c r="M26" s="76" t="str">
        <x:v>Peer-reviewed</x:v>
      </x:c>
      <x:c r="N26" s="90" t="n">
        <x:v>2022</x:v>
      </x:c>
      <x:c r="O26" s="76" t="str">
        <x:v>Sanford C. Goldberg</x:v>
      </x:c>
      <x:c r="P26" s="76" t="str">
        <x:v>What Is a Speaker Owed?</x:v>
      </x:c>
      <x:c r="Q26" s="76" t="str">
        <x:v>Philosophy &amp; Public Affairs 50(3):375–407</x:v>
      </x:c>
      <x:c r="R26" s="76" t="str">
        <x:v>English</x:v>
      </x:c>
      <x:c r="S26" s="76" t="str">
        <x:v>A fair listener must bracket evidence socially corrupted by racism or sexism, because mechanically following biased evidence can still wrong a knowledgeable speaker.</x:v>
      </x:c>
      <x:c r="T26" s="76" t="str">
        <x:v>An adjacent epistemology article, not a #MeToo study or direct premise rejection.</x:v>
      </x:c>
      <x:c r="U26" s="76" t="str">
        <x:v>Source record verified</x:v>
      </x:c>
      <x:c r="V26" s="76" t="str">
        <x:v>www.doi.org/10.1111/papa.12219</x:v>
      </x:c>
      <x:c r="W26" s="76" t="str">
        <x:v>10.1111/papa.12219</x:v>
      </x:c>
      <x:c r="X26" s="94" t="n">
        <x:v>46230</x:v>
      </x:c>
      <x:c r="Y26" s="94" t="n">
        <x:v>46230</x:v>
      </x:c>
      <x:c r="Z26" s="76" t="str"/>
      <x:c r="AA26" s="76" t="str"/>
      <x:c r="AB26" s="76" t="n">
        <x:v>21</x:v>
      </x:c>
      <x:c r="AC26" s="76" t="str">
        <x:v>ADJACENT CONTEXT</x:v>
      </x:c>
      <x:c r="AD26" s="76" t="str">
        <x:v>UNCLEAR</x:v>
      </x:c>
      <x:c r="AE26" s="76" t="str">
        <x:v>ADJACENT</x:v>
      </x:c>
      <x:c r="AF26" s="76" t="str">
        <x:v>Testimonial authority, credibility, and epistemic standing</x:v>
      </x:c>
      <x:c r="AG26" s="76" t="str">
        <x:v>NO EVIDENCE</x:v>
      </x:c>
      <x:c r="AH26" s="76" t="str"/>
      <x:c r="AI26" s="76" t="str"/>
      <x:c r="AJ26" s="76" t="str"/>
      <x:c r="AK26" s="76" t="str">
        <x:v>NO EVIDENCE</x:v>
      </x:c>
      <x:c r="AL26" s="76" t="str"/>
      <x:c r="AM26" s="76" t="str"/>
      <x:c r="AN26" s="76" t="str"/>
      <x:c r="AO26" s="76" t="str"/>
      <x:c r="AP26" s="76" t="str">
        <x:v>Research team</x:v>
      </x:c>
      <x:c r="AQ26" s="76" t="str">
        <x:v>GORGONWARS-PREMISE-1.0</x:v>
      </x:c>
      <x:c r="AR26" s="76" t="str"/>
      <x:c r="AS26" s="82" t="str">
        <x:f>IF(A26="","",IF(OR(E26="NOT APPLICABLE",E26="PREMISES UNRESOLVED"),"N/A",IF(OR(AND(F26&lt;&gt;"NO EVIDENCE",F26&lt;&gt;"NOT APPLICABLE",OR(AG26="",AH26="",AI26="",AJ26="",AG26="SYSTEM INFERENCE",AG26="ABSTRACT ONLY",AG26="SECONDARY REPORT",AG26="UNVERIFIED",AI26="Exact locator needed",AI26="HAU forum framing; exact target locator needed",AI26="Forum exchange; exact locator needed")),AND(G26&lt;&gt;"NO EVIDENCE",G26&lt;&gt;"NOT APPLICABLE",OR(AK26="",AL26="",AM26="",AN26="",AK26="SYSTEM INFERENCE",AK26="ABSTRACT ONLY",AK26="SECONDARY REPORT",AK26="UNVERIFIED",AM26="Exact locator needed",AM26="HAU forum framing; exact target locator needed",AM26="Forum exchange; exact locator needed"))),"EVIDENCE DEBT","READY")))</x:f>
        <x:v>N/A</x:v>
      </x:c>
      <x:c r="AT26" s="77" t="str"/>
    </x:row>
    <x:row r="27" ht="50" customHeight="1">
      <x:c r="A27" s="85" t="n">
        <x:v>22</x:v>
      </x:c>
      <x:c r="B27" s="73" t="str">
        <x:v>Active</x:v>
      </x:c>
      <x:c r="C27" s="89" t="n">
        <x:v>5</x:v>
      </x:c>
      <x:c r="D27" s="82" t="str">
        <x:f>IF(C27="","",IFERROR(VLOOKUP(C27,'Database controls'!$A$5:$B$20,2,FALSE),"NEW / UNCATEGORIZED"))</x:f>
        <x:v>Desire, agency, and sexual ambiguity</x:v>
      </x:c>
      <x:c r="E27" s="73" t="str">
        <x:v>PREMISES UNRESOLVED</x:v>
      </x:c>
      <x:c r="F27" s="73" t="str">
        <x:v>NO EVIDENCE</x:v>
      </x:c>
      <x:c r="G27" s="73" t="str">
        <x:v>NO EVIDENCE</x:v>
      </x:c>
      <x:c r="H27" s="82" t="str">
        <x:f>IF(A27="","",IF(OR(F27="REJECTS",G27="REJECTS"),"OUTSIDE / EXCOMMUNICABLE",IF(AND(OR(F27="RETAINS",F27="RETAINS WITH QUALIFICATION"),OR(G27="RETAINS",G27="RETAINS WITH QUALIFICATION")),"INTERNAL GORGONWARS",IF(AND(F27="NOT APPLICABLE",G27="NOT APPLICABLE"),"NOT APPLICABLE","PREMISES UNRESOLVED"))))</x:f>
        <x:v>PREMISES UNRESOLVED</x:v>
      </x:c>
      <x:c r="I27" s="82" t="str">
        <x:f>IF(A27="","",IF(E27=H27,"OK",IF(AO27&lt;&gt;"","OVERRIDDEN","REVIEW")))</x:f>
        <x:v>OK</x:v>
      </x:c>
      <x:c r="J27" s="73" t="str">
        <x:v>Internal critique of thin consent models</x:v>
      </x:c>
      <x:c r="K27" s="73" t="str">
        <x:v>Direct #MeToo critique</x:v>
      </x:c>
      <x:c r="L27" s="73" t="str">
        <x:v>Peer-reviewed journal article</x:v>
      </x:c>
      <x:c r="M27" s="73" t="str">
        <x:v>Peer-reviewed</x:v>
      </x:c>
      <x:c r="N27" s="89" t="n">
        <x:v>2019</x:v>
      </x:c>
      <x:c r="O27" s="73" t="str">
        <x:v>Cyndi Darnell</x:v>
      </x:c>
      <x:c r="P27" s="73" t="str">
        <x:v>Consent Lies Destroy Lives: Pleasure as the Sweetest Taboo</x:v>
      </x:c>
      <x:c r="Q27" s="73" t="str">
        <x:v>#MeToo and the Politics of Social Change</x:v>
      </x:c>
      <x:c r="R27" s="73" t="str">
        <x:v>English</x:v>
      </x:c>
      <x:c r="S27" s="73" t="str">
        <x:v>A useful consent ethic must explain pleasure, erotic desire, mutuality, and complex power rather than reduce sex to a yes/no anti-violence checklist.</x:v>
      </x:c>
      <x:c r="T27" s="73" t="str">
        <x:v>Expands consent analysis but does not establish a position on standpoint epistemology or the political boundary.</x:v>
      </x:c>
      <x:c r="U27" s="73" t="str">
        <x:v>Source record verified</x:v>
      </x:c>
      <x:c r="V27" s="73" t="str">
        <x:v>www.doi.org/10.1007/978-3-030-15213-0_16</x:v>
      </x:c>
      <x:c r="W27" s="73" t="str">
        <x:v>10.1007/978-3-030-15213-0_16</x:v>
      </x:c>
      <x:c r="X27" s="93" t="n">
        <x:v>46230</x:v>
      </x:c>
      <x:c r="Y27" s="93" t="n">
        <x:v>46230</x:v>
      </x:c>
      <x:c r="Z27" s="73" t="str"/>
      <x:c r="AA27" s="73" t="str"/>
      <x:c r="AB27" s="73" t="n">
        <x:v>22</x:v>
      </x:c>
      <x:c r="AC27" s="73" t="str">
        <x:v>ADJACENT CONTEXT</x:v>
      </x:c>
      <x:c r="AD27" s="73" t="str">
        <x:v>UNCLEAR</x:v>
      </x:c>
      <x:c r="AE27" s="73" t="str">
        <x:v>YES</x:v>
      </x:c>
      <x:c r="AF27" s="73" t="str">
        <x:v>Consent, desire, agency, ambiguity, and category compression</x:v>
      </x:c>
      <x:c r="AG27" s="73" t="str">
        <x:v>NO EVIDENCE</x:v>
      </x:c>
      <x:c r="AH27" s="73" t="str"/>
      <x:c r="AI27" s="73" t="str"/>
      <x:c r="AJ27" s="73" t="str"/>
      <x:c r="AK27" s="73" t="str">
        <x:v>NO EVIDENCE</x:v>
      </x:c>
      <x:c r="AL27" s="73" t="str"/>
      <x:c r="AM27" s="73" t="str"/>
      <x:c r="AN27" s="73" t="str"/>
      <x:c r="AO27" s="73" t="str"/>
      <x:c r="AP27" s="73" t="str">
        <x:v>Research team</x:v>
      </x:c>
      <x:c r="AQ27" s="73" t="str">
        <x:v>GORGONWARS-PREMISE-1.0</x:v>
      </x:c>
      <x:c r="AR27" s="73" t="str"/>
      <x:c r="AS27" s="82" t="str">
        <x:f>IF(A27="","",IF(OR(E27="NOT APPLICABLE",E27="PREMISES UNRESOLVED"),"N/A",IF(OR(AND(F27&lt;&gt;"NO EVIDENCE",F27&lt;&gt;"NOT APPLICABLE",OR(AG27="",AH27="",AI27="",AJ27="",AG27="SYSTEM INFERENCE",AG27="ABSTRACT ONLY",AG27="SECONDARY REPORT",AG27="UNVERIFIED",AI27="Exact locator needed",AI27="HAU forum framing; exact target locator needed",AI27="Forum exchange; exact locator needed")),AND(G27&lt;&gt;"NO EVIDENCE",G27&lt;&gt;"NOT APPLICABLE",OR(AK27="",AL27="",AM27="",AN27="",AK27="SYSTEM INFERENCE",AK27="ABSTRACT ONLY",AK27="SECONDARY REPORT",AK27="UNVERIFIED",AM27="Exact locator needed",AM27="HAU forum framing; exact target locator needed",AM27="Forum exchange; exact locator needed"))),"EVIDENCE DEBT","READY")))</x:f>
        <x:v>N/A</x:v>
      </x:c>
      <x:c r="AT27" s="74" t="str"/>
    </x:row>
    <x:row r="28" ht="50" customHeight="1">
      <x:c r="A28" s="86" t="n">
        <x:v>23</x:v>
      </x:c>
      <x:c r="B28" s="76" t="str">
        <x:v>Active</x:v>
      </x:c>
      <x:c r="C28" s="90" t="n">
        <x:v>5</x:v>
      </x:c>
      <x:c r="D28" s="82" t="str">
        <x:f>IF(C28="","",IFERROR(VLOOKUP(C28,'Database controls'!$A$5:$B$20,2,FALSE),"NEW / UNCATEGORIZED"))</x:f>
        <x:v>Desire, agency, and sexual ambiguity</x:v>
      </x:c>
      <x:c r="E28" s="76" t="str">
        <x:v>PREMISES UNRESOLVED</x:v>
      </x:c>
      <x:c r="F28" s="76" t="str">
        <x:v>NO EVIDENCE</x:v>
      </x:c>
      <x:c r="G28" s="76" t="str">
        <x:v>NO EVIDENCE</x:v>
      </x:c>
      <x:c r="H28" s="82" t="str">
        <x:f>IF(A28="","",IF(OR(F28="REJECTS",G28="REJECTS"),"OUTSIDE / EXCOMMUNICABLE",IF(AND(OR(F28="RETAINS",F28="RETAINS WITH QUALIFICATION"),OR(G28="RETAINS",G28="RETAINS WITH QUALIFICATION")),"INTERNAL GORGONWARS",IF(AND(F28="NOT APPLICABLE",G28="NOT APPLICABLE"),"NOT APPLICABLE","PREMISES UNRESOLVED"))))</x:f>
        <x:v>PREMISES UNRESOLVED</x:v>
      </x:c>
      <x:c r="I28" s="82" t="str">
        <x:f>IF(A28="","",IF(E28=H28,"OK",IF(AO28&lt;&gt;"","OVERRIDDEN","REVIEW")))</x:f>
        <x:v>OK</x:v>
      </x:c>
      <x:c r="J28" s="76" t="str">
        <x:v>Feminist critique of sex panic and carceral moralism</x:v>
      </x:c>
      <x:c r="K28" s="76" t="str">
        <x:v>Direct #MeToo critique</x:v>
      </x:c>
      <x:c r="L28" s="76" t="str">
        <x:v>Peer-reviewed journal article</x:v>
      </x:c>
      <x:c r="M28" s="76" t="str">
        <x:v>Peer-reviewed</x:v>
      </x:c>
      <x:c r="N28" s="90" t="n">
        <x:v>2019</x:v>
      </x:c>
      <x:c r="O28" s="76" t="str">
        <x:v>Heidi Matthews</x:v>
      </x:c>
      <x:c r="P28" s="76" t="str">
        <x:v>#MeToo as Sex Panic</x:v>
      </x:c>
      <x:c r="Q28" s="76" t="str">
        <x:v>#MeToo and the Politics of Social Change</x:v>
      </x:c>
      <x:c r="R28" s="76" t="str">
        <x:v>English</x:v>
      </x:c>
      <x:c r="S28" s="76" t="str">
        <x:v>#MeToo turns sexually conservative when legal consent is treated as a complete moral switch, so feminism needs room for desire, ambiguity, forgiveness, and noncarceral accountability.</x:v>
      </x:c>
      <x:c r="T28" s="76" t="str">
        <x:v>An immanent feminist critique; anti-carceral and pro-ambiguity positions do not by themselves prove foundational rejection.</x:v>
      </x:c>
      <x:c r="U28" s="76" t="str">
        <x:v>Source record verified</x:v>
      </x:c>
      <x:c r="V28" s="76" t="str">
        <x:v>www.doi.org/10.1007/978-3-030-15213-0_17</x:v>
      </x:c>
      <x:c r="W28" s="76" t="str">
        <x:v>10.1007/978-3-030-15213-0_17</x:v>
      </x:c>
      <x:c r="X28" s="94" t="n">
        <x:v>46230</x:v>
      </x:c>
      <x:c r="Y28" s="94" t="n">
        <x:v>46230</x:v>
      </x:c>
      <x:c r="Z28" s="76" t="str"/>
      <x:c r="AA28" s="76" t="str"/>
      <x:c r="AB28" s="76" t="n">
        <x:v>23</x:v>
      </x:c>
      <x:c r="AC28" s="76" t="str">
        <x:v>ADJACENT CONTEXT</x:v>
      </x:c>
      <x:c r="AD28" s="76" t="str">
        <x:v>UNCLEAR</x:v>
      </x:c>
      <x:c r="AE28" s="76" t="str">
        <x:v>YES</x:v>
      </x:c>
      <x:c r="AF28" s="76" t="str">
        <x:v>Consent, desire, agency, ambiguity, and category compression</x:v>
      </x:c>
      <x:c r="AG28" s="76" t="str">
        <x:v>NO EVIDENCE</x:v>
      </x:c>
      <x:c r="AH28" s="76" t="str"/>
      <x:c r="AI28" s="76" t="str"/>
      <x:c r="AJ28" s="76" t="str"/>
      <x:c r="AK28" s="76" t="str">
        <x:v>NO EVIDENCE</x:v>
      </x:c>
      <x:c r="AL28" s="76" t="str"/>
      <x:c r="AM28" s="76" t="str"/>
      <x:c r="AN28" s="76" t="str"/>
      <x:c r="AO28" s="76" t="str"/>
      <x:c r="AP28" s="76" t="str">
        <x:v>Research team</x:v>
      </x:c>
      <x:c r="AQ28" s="76" t="str">
        <x:v>GORGONWARS-PREMISE-1.0</x:v>
      </x:c>
      <x:c r="AR28" s="76" t="str"/>
      <x:c r="AS28" s="82" t="str">
        <x:f>IF(A28="","",IF(OR(E28="NOT APPLICABLE",E28="PREMISES UNRESOLVED"),"N/A",IF(OR(AND(F28&lt;&gt;"NO EVIDENCE",F28&lt;&gt;"NOT APPLICABLE",OR(AG28="",AH28="",AI28="",AJ28="",AG28="SYSTEM INFERENCE",AG28="ABSTRACT ONLY",AG28="SECONDARY REPORT",AG28="UNVERIFIED",AI28="Exact locator needed",AI28="HAU forum framing; exact target locator needed",AI28="Forum exchange; exact locator needed")),AND(G28&lt;&gt;"NO EVIDENCE",G28&lt;&gt;"NOT APPLICABLE",OR(AK28="",AL28="",AM28="",AN28="",AK28="SYSTEM INFERENCE",AK28="ABSTRACT ONLY",AK28="SECONDARY REPORT",AK28="UNVERIFIED",AM28="Exact locator needed",AM28="HAU forum framing; exact target locator needed",AM28="Forum exchange; exact locator needed"))),"EVIDENCE DEBT","READY")))</x:f>
        <x:v>N/A</x:v>
      </x:c>
      <x:c r="AT28" s="77" t="str"/>
    </x:row>
    <x:row r="29" ht="50" customHeight="1">
      <x:c r="A29" s="85" t="n">
        <x:v>24</x:v>
      </x:c>
      <x:c r="B29" s="73" t="str">
        <x:v>Active</x:v>
      </x:c>
      <x:c r="C29" s="89" t="n">
        <x:v>5</x:v>
      </x:c>
      <x:c r="D29" s="82" t="str">
        <x:f>IF(C29="","",IFERROR(VLOOKUP(C29,'Database controls'!$A$5:$B$20,2,FALSE),"NEW / UNCATEGORIZED"))</x:f>
        <x:v>Desire, agency, and sexual ambiguity</x:v>
      </x:c>
      <x:c r="E29" s="73" t="str">
        <x:v>PREMISES UNRESOLVED</x:v>
      </x:c>
      <x:c r="F29" s="73" t="str">
        <x:v>NO EVIDENCE</x:v>
      </x:c>
      <x:c r="G29" s="73" t="str">
        <x:v>NO EVIDENCE</x:v>
      </x:c>
      <x:c r="H29" s="82" t="str">
        <x:f>IF(A29="","",IF(OR(F29="REJECTS",G29="REJECTS"),"OUTSIDE / EXCOMMUNICABLE",IF(AND(OR(F29="RETAINS",F29="RETAINS WITH QUALIFICATION"),OR(G29="RETAINS",G29="RETAINS WITH QUALIFICATION")),"INTERNAL GORGONWARS",IF(AND(F29="NOT APPLICABLE",G29="NOT APPLICABLE"),"NOT APPLICABLE","PREMISES UNRESOLVED"))))</x:f>
        <x:v>PREMISES UNRESOLVED</x:v>
      </x:c>
      <x:c r="I29" s="82" t="str">
        <x:f>IF(A29="","",IF(E29=H29,"OK",IF(AO29&lt;&gt;"","OVERRIDDEN","REVIEW")))</x:f>
        <x:v>OK</x:v>
      </x:c>
      <x:c r="J29" s="73" t="str">
        <x:v>Empirical discourse analysis of sexual communication</x:v>
      </x:c>
      <x:c r="K29" s="73" t="str">
        <x:v>Direct #MeToo critique</x:v>
      </x:c>
      <x:c r="L29" s="73" t="str">
        <x:v>Peer-reviewed journal article</x:v>
      </x:c>
      <x:c r="M29" s="73" t="str">
        <x:v>Peer-reviewed</x:v>
      </x:c>
      <x:c r="N29" s="89" t="n">
        <x:v>2023</x:v>
      </x:c>
      <x:c r="O29" s="73" t="str">
        <x:v>Andrea Waling</x:v>
      </x:c>
      <x:c r="P29" s="73" t="str">
        <x:v>‘Pay close attention to what my eyes are saying without having to spell it out’: Heterosexual relations and discourses of sexual communication in #MeToo commentaries</x:v>
      </x:c>
      <x:c r="Q29" s="73" t="str">
        <x:v>Sexualities 26(1–2):140–161</x:v>
      </x:c>
      <x:c r="R29" s="73" t="str">
        <x:v>English</x:v>
      </x:c>
      <x:c r="S29" s="73" t="str">
        <x:v>#MeToo commentary gives people contradictory sexual rules, and a process view better captures changing desire, verbal and nonverbal communication, awkwardness, and agency.</x:v>
      </x:c>
      <x:c r="T29" s="73" t="str">
        <x:v>Studies commentary and communication models; it does not reject public accountability or standpoint epistemology.</x:v>
      </x:c>
      <x:c r="U29" s="73" t="str">
        <x:v>Source record verified</x:v>
      </x:c>
      <x:c r="V29" s="73" t="str">
        <x:v>www.doi.org/10.1177/13634607211060834</x:v>
      </x:c>
      <x:c r="W29" s="73" t="str">
        <x:v>10.1177/13634607211060834</x:v>
      </x:c>
      <x:c r="X29" s="93" t="n">
        <x:v>46230</x:v>
      </x:c>
      <x:c r="Y29" s="93" t="n">
        <x:v>46230</x:v>
      </x:c>
      <x:c r="Z29" s="73" t="str"/>
      <x:c r="AA29" s="73" t="str"/>
      <x:c r="AB29" s="73" t="n">
        <x:v>24</x:v>
      </x:c>
      <x:c r="AC29" s="73" t="str">
        <x:v>ADJACENT CONTEXT</x:v>
      </x:c>
      <x:c r="AD29" s="73" t="str">
        <x:v>UNCLEAR</x:v>
      </x:c>
      <x:c r="AE29" s="73" t="str">
        <x:v>YES</x:v>
      </x:c>
      <x:c r="AF29" s="73" t="str">
        <x:v>Consent, desire, agency, ambiguity, and category compression</x:v>
      </x:c>
      <x:c r="AG29" s="73" t="str">
        <x:v>NO EVIDENCE</x:v>
      </x:c>
      <x:c r="AH29" s="73" t="str"/>
      <x:c r="AI29" s="73" t="str"/>
      <x:c r="AJ29" s="73" t="str"/>
      <x:c r="AK29" s="73" t="str">
        <x:v>NO EVIDENCE</x:v>
      </x:c>
      <x:c r="AL29" s="73" t="str"/>
      <x:c r="AM29" s="73" t="str"/>
      <x:c r="AN29" s="73" t="str"/>
      <x:c r="AO29" s="73" t="str"/>
      <x:c r="AP29" s="73" t="str">
        <x:v>Research team</x:v>
      </x:c>
      <x:c r="AQ29" s="73" t="str">
        <x:v>GORGONWARS-PREMISE-1.0</x:v>
      </x:c>
      <x:c r="AR29" s="73" t="str"/>
      <x:c r="AS29" s="82" t="str">
        <x:f>IF(A29="","",IF(OR(E29="NOT APPLICABLE",E29="PREMISES UNRESOLVED"),"N/A",IF(OR(AND(F29&lt;&gt;"NO EVIDENCE",F29&lt;&gt;"NOT APPLICABLE",OR(AG29="",AH29="",AI29="",AJ29="",AG29="SYSTEM INFERENCE",AG29="ABSTRACT ONLY",AG29="SECONDARY REPORT",AG29="UNVERIFIED",AI29="Exact locator needed",AI29="HAU forum framing; exact target locator needed",AI29="Forum exchange; exact locator needed")),AND(G29&lt;&gt;"NO EVIDENCE",G29&lt;&gt;"NOT APPLICABLE",OR(AK29="",AL29="",AM29="",AN29="",AK29="SYSTEM INFERENCE",AK29="ABSTRACT ONLY",AK29="SECONDARY REPORT",AK29="UNVERIFIED",AM29="Exact locator needed",AM29="HAU forum framing; exact target locator needed",AM29="Forum exchange; exact locator needed"))),"EVIDENCE DEBT","READY")))</x:f>
        <x:v>N/A</x:v>
      </x:c>
      <x:c r="AT29" s="74" t="str"/>
    </x:row>
    <x:row r="30" ht="50" customHeight="1">
      <x:c r="A30" s="86" t="n">
        <x:v>25</x:v>
      </x:c>
      <x:c r="B30" s="76" t="str">
        <x:v>Active</x:v>
      </x:c>
      <x:c r="C30" s="90" t="n">
        <x:v>5</x:v>
      </x:c>
      <x:c r="D30" s="82" t="str">
        <x:f>IF(C30="","",IFERROR(VLOOKUP(C30,'Database controls'!$A$5:$B$20,2,FALSE),"NEW / UNCATEGORIZED"))</x:f>
        <x:v>Desire, agency, and sexual ambiguity</x:v>
      </x:c>
      <x:c r="E30" s="76" t="str">
        <x:v>PREMISES UNRESOLVED</x:v>
      </x:c>
      <x:c r="F30" s="76" t="str">
        <x:v>NO EVIDENCE</x:v>
      </x:c>
      <x:c r="G30" s="76" t="str">
        <x:v>NO EVIDENCE</x:v>
      </x:c>
      <x:c r="H30" s="82" t="str">
        <x:f>IF(A30="","",IF(OR(F30="REJECTS",G30="REJECTS"),"OUTSIDE / EXCOMMUNICABLE",IF(AND(OR(F30="RETAINS",F30="RETAINS WITH QUALIFICATION"),OR(G30="RETAINS",G30="RETAINS WITH QUALIFICATION")),"INTERNAL GORGONWARS",IF(AND(F30="NOT APPLICABLE",G30="NOT APPLICABLE"),"NOT APPLICABLE","PREMISES UNRESOLVED"))))</x:f>
        <x:v>PREMISES UNRESOLVED</x:v>
      </x:c>
      <x:c r="I30" s="82" t="str">
        <x:f>IF(A30="","",IF(E30=H30,"OK",IF(AO30&lt;&gt;"","OVERRIDDEN","REVIEW")))</x:f>
        <x:v>OK</x:v>
      </x:c>
      <x:c r="J30" s="76" t="str">
        <x:v>Psychoanalytic account of changing interpretation</x:v>
      </x:c>
      <x:c r="K30" s="76" t="str">
        <x:v>Direct #MeToo critique</x:v>
      </x:c>
      <x:c r="L30" s="76" t="str">
        <x:v>Peer-reviewed journal article</x:v>
      </x:c>
      <x:c r="M30" s="76" t="str">
        <x:v>Peer-reviewed</x:v>
      </x:c>
      <x:c r="N30" s="90" t="n">
        <x:v>2020</x:v>
      </x:c>
      <x:c r="O30" s="76" t="str">
        <x:v>Orna Guralnik</x:v>
      </x:c>
      <x:c r="P30" s="76" t="str">
        <x:v>#Me Too, I Was Interpellated</x:v>
      </x:c>
      <x:c r="Q30" s="76" t="str">
        <x:v>Psychoanalytic Dialogues 30(3):251–257</x:v>
      </x:c>
      <x:c r="R30" s="76" t="str">
        <x:v>English</x:v>
      </x:c>
      <x:c r="S30" s="76" t="str">
        <x:v>Sexual events can change meaning as people and ideological contexts change, so responsible interpretation must preserve uncertainty rather than freeze one final story.</x:v>
      </x:c>
      <x:c r="T30" s="76" t="str">
        <x:v>A psychoanalytic reflection rather than an evidentiary or institutional program.</x:v>
      </x:c>
      <x:c r="U30" s="76" t="str">
        <x:v>Source record verified</x:v>
      </x:c>
      <x:c r="V30" s="76" t="str">
        <x:v>www.doi.org/10.1080/10481885.2020.1744964</x:v>
      </x:c>
      <x:c r="W30" s="76" t="str">
        <x:v>10.1080/10481885.2020.1744964</x:v>
      </x:c>
      <x:c r="X30" s="94" t="n">
        <x:v>46230</x:v>
      </x:c>
      <x:c r="Y30" s="94" t="n">
        <x:v>46230</x:v>
      </x:c>
      <x:c r="Z30" s="76" t="str"/>
      <x:c r="AA30" s="76" t="str"/>
      <x:c r="AB30" s="76" t="n">
        <x:v>25</x:v>
      </x:c>
      <x:c r="AC30" s="76" t="str">
        <x:v>ADJACENT CONTEXT</x:v>
      </x:c>
      <x:c r="AD30" s="76" t="str">
        <x:v>UNCLEAR</x:v>
      </x:c>
      <x:c r="AE30" s="76" t="str">
        <x:v>YES</x:v>
      </x:c>
      <x:c r="AF30" s="76" t="str">
        <x:v>Consent, desire, agency, ambiguity, and category compression</x:v>
      </x:c>
      <x:c r="AG30" s="76" t="str">
        <x:v>NO EVIDENCE</x:v>
      </x:c>
      <x:c r="AH30" s="76" t="str"/>
      <x:c r="AI30" s="76" t="str"/>
      <x:c r="AJ30" s="76" t="str"/>
      <x:c r="AK30" s="76" t="str">
        <x:v>NO EVIDENCE</x:v>
      </x:c>
      <x:c r="AL30" s="76" t="str"/>
      <x:c r="AM30" s="76" t="str"/>
      <x:c r="AN30" s="76" t="str"/>
      <x:c r="AO30" s="76" t="str"/>
      <x:c r="AP30" s="76" t="str">
        <x:v>Research team</x:v>
      </x:c>
      <x:c r="AQ30" s="76" t="str">
        <x:v>GORGONWARS-PREMISE-1.0</x:v>
      </x:c>
      <x:c r="AR30" s="76" t="str"/>
      <x:c r="AS30" s="82" t="str">
        <x:f>IF(A30="","",IF(OR(E30="NOT APPLICABLE",E30="PREMISES UNRESOLVED"),"N/A",IF(OR(AND(F30&lt;&gt;"NO EVIDENCE",F30&lt;&gt;"NOT APPLICABLE",OR(AG30="",AH30="",AI30="",AJ30="",AG30="SYSTEM INFERENCE",AG30="ABSTRACT ONLY",AG30="SECONDARY REPORT",AG30="UNVERIFIED",AI30="Exact locator needed",AI30="HAU forum framing; exact target locator needed",AI30="Forum exchange; exact locator needed")),AND(G30&lt;&gt;"NO EVIDENCE",G30&lt;&gt;"NOT APPLICABLE",OR(AK30="",AL30="",AM30="",AN30="",AK30="SYSTEM INFERENCE",AK30="ABSTRACT ONLY",AK30="SECONDARY REPORT",AK30="UNVERIFIED",AM30="Exact locator needed",AM30="HAU forum framing; exact target locator needed",AM30="Forum exchange; exact locator needed"))),"EVIDENCE DEBT","READY")))</x:f>
        <x:v>N/A</x:v>
      </x:c>
      <x:c r="AT30" s="77" t="str"/>
    </x:row>
    <x:row r="31" ht="50" customHeight="1">
      <x:c r="A31" s="85" t="n">
        <x:v>26</x:v>
      </x:c>
      <x:c r="B31" s="73" t="str">
        <x:v>Active</x:v>
      </x:c>
      <x:c r="C31" s="89" t="n">
        <x:v>5</x:v>
      </x:c>
      <x:c r="D31" s="82" t="str">
        <x:f>IF(C31="","",IFERROR(VLOOKUP(C31,'Database controls'!$A$5:$B$20,2,FALSE),"NEW / UNCATEGORIZED"))</x:f>
        <x:v>Desire, agency, and sexual ambiguity</x:v>
      </x:c>
      <x:c r="E31" s="73" t="str">
        <x:v>PREMISES UNRESOLVED</x:v>
      </x:c>
      <x:c r="F31" s="73" t="str">
        <x:v>NO EVIDENCE</x:v>
      </x:c>
      <x:c r="G31" s="73" t="str">
        <x:v>NO EVIDENCE</x:v>
      </x:c>
      <x:c r="H31" s="82" t="str">
        <x:f>IF(A31="","",IF(OR(F31="REJECTS",G31="REJECTS"),"OUTSIDE / EXCOMMUNICABLE",IF(AND(OR(F31="RETAINS",F31="RETAINS WITH QUALIFICATION"),OR(G31="RETAINS",G31="RETAINS WITH QUALIFICATION")),"INTERNAL GORGONWARS",IF(AND(F31="NOT APPLICABLE",G31="NOT APPLICABLE"),"NOT APPLICABLE","PREMISES UNRESOLVED"))))</x:f>
        <x:v>PREMISES UNRESOLVED</x:v>
      </x:c>
      <x:c r="I31" s="82" t="str">
        <x:f>IF(A31="","",IF(E31=H31,"OK",IF(AO31&lt;&gt;"","OVERRIDDEN","REVIEW")))</x:f>
        <x:v>OK</x:v>
      </x:c>
      <x:c r="J31" s="73" t="str">
        <x:v>Psychoanalytic account of consent’s gray areas</x:v>
      </x:c>
      <x:c r="K31" s="73" t="str">
        <x:v>Direct #MeToo critique</x:v>
      </x:c>
      <x:c r="L31" s="73" t="str">
        <x:v>Peer-reviewed journal article</x:v>
      </x:c>
      <x:c r="M31" s="73" t="str">
        <x:v>Peer-reviewed</x:v>
      </x:c>
      <x:c r="N31" s="89" t="str">
        <x:v>2019 (2018 volume)</x:v>
      </x:c>
      <x:c r="O31" s="73" t="str">
        <x:v>Susan Kolod</x:v>
      </x:c>
      <x:c r="P31" s="73" t="str">
        <x:v>You Say Seduction and I Say Coercion: The Gray Areas of Consent</x:v>
      </x:c>
      <x:c r="Q31" s="73" t="str">
        <x:v>Contemporary Psychoanalysis 54(4):651–664</x:v>
      </x:c>
      <x:c r="R31" s="73" t="str">
        <x:v>English</x:v>
      </x:c>
      <x:c r="S31" s="73" t="str">
        <x:v>Consent’s gray zone becomes clearer when people can notice desire or dissociation in the moment and freely stop, rather than treating seduction and coercion as self-evident labels.</x:v>
      </x:c>
      <x:c r="T31" s="73" t="str">
        <x:v>Clinical and psychoanalytic reasoning does not by itself settle legal proof or either foundational premise.</x:v>
      </x:c>
      <x:c r="U31" s="73" t="str">
        <x:v>Source record verified</x:v>
      </x:c>
      <x:c r="V31" s="73" t="str">
        <x:v>www.doi.org/10.1080/00107530.2018.1527196</x:v>
      </x:c>
      <x:c r="W31" s="73" t="str">
        <x:v>10.1080/00107530.2018.1527196</x:v>
      </x:c>
      <x:c r="X31" s="93" t="n">
        <x:v>46230</x:v>
      </x:c>
      <x:c r="Y31" s="93" t="n">
        <x:v>46230</x:v>
      </x:c>
      <x:c r="Z31" s="73" t="str"/>
      <x:c r="AA31" s="73" t="str"/>
      <x:c r="AB31" s="73" t="n">
        <x:v>26</x:v>
      </x:c>
      <x:c r="AC31" s="73" t="str">
        <x:v>ADJACENT CONTEXT</x:v>
      </x:c>
      <x:c r="AD31" s="73" t="str">
        <x:v>UNCLEAR</x:v>
      </x:c>
      <x:c r="AE31" s="73" t="str">
        <x:v>YES</x:v>
      </x:c>
      <x:c r="AF31" s="73" t="str">
        <x:v>Consent, desire, agency, ambiguity, and category compression</x:v>
      </x:c>
      <x:c r="AG31" s="73" t="str">
        <x:v>NO EVIDENCE</x:v>
      </x:c>
      <x:c r="AH31" s="73" t="str"/>
      <x:c r="AI31" s="73" t="str"/>
      <x:c r="AJ31" s="73" t="str"/>
      <x:c r="AK31" s="73" t="str">
        <x:v>NO EVIDENCE</x:v>
      </x:c>
      <x:c r="AL31" s="73" t="str"/>
      <x:c r="AM31" s="73" t="str"/>
      <x:c r="AN31" s="73" t="str"/>
      <x:c r="AO31" s="73" t="str"/>
      <x:c r="AP31" s="73" t="str">
        <x:v>Research team</x:v>
      </x:c>
      <x:c r="AQ31" s="73" t="str">
        <x:v>GORGONWARS-PREMISE-1.0</x:v>
      </x:c>
      <x:c r="AR31" s="73" t="str"/>
      <x:c r="AS31" s="82" t="str">
        <x:f>IF(A31="","",IF(OR(E31="NOT APPLICABLE",E31="PREMISES UNRESOLVED"),"N/A",IF(OR(AND(F31&lt;&gt;"NO EVIDENCE",F31&lt;&gt;"NOT APPLICABLE",OR(AG31="",AH31="",AI31="",AJ31="",AG31="SYSTEM INFERENCE",AG31="ABSTRACT ONLY",AG31="SECONDARY REPORT",AG31="UNVERIFIED",AI31="Exact locator needed",AI31="HAU forum framing; exact target locator needed",AI31="Forum exchange; exact locator needed")),AND(G31&lt;&gt;"NO EVIDENCE",G31&lt;&gt;"NOT APPLICABLE",OR(AK31="",AL31="",AM31="",AN31="",AK31="SYSTEM INFERENCE",AK31="ABSTRACT ONLY",AK31="SECONDARY REPORT",AK31="UNVERIFIED",AM31="Exact locator needed",AM31="HAU forum framing; exact target locator needed",AM31="Forum exchange; exact locator needed"))),"EVIDENCE DEBT","READY")))</x:f>
        <x:v>N/A</x:v>
      </x:c>
      <x:c r="AT31" s="74" t="str"/>
    </x:row>
    <x:row r="32" ht="50" customHeight="1">
      <x:c r="A32" s="86" t="n">
        <x:v>27</x:v>
      </x:c>
      <x:c r="B32" s="76" t="str">
        <x:v>Active</x:v>
      </x:c>
      <x:c r="C32" s="90" t="n">
        <x:v>5</x:v>
      </x:c>
      <x:c r="D32" s="82" t="str">
        <x:f>IF(C32="","",IFERROR(VLOOKUP(C32,'Database controls'!$A$5:$B$20,2,FALSE),"NEW / UNCATEGORIZED"))</x:f>
        <x:v>Desire, agency, and sexual ambiguity</x:v>
      </x:c>
      <x:c r="E32" s="76" t="str">
        <x:v>INTERNAL GORGONWARS</x:v>
      </x:c>
      <x:c r="F32" s="76" t="str">
        <x:v>RETAINS</x:v>
      </x:c>
      <x:c r="G32" s="76" t="str">
        <x:v>NO EVIDENCE</x:v>
      </x:c>
      <x:c r="H32" s="82" t="str">
        <x:f>IF(A32="","",IF(OR(F32="REJECTS",G32="REJECTS"),"OUTSIDE / EXCOMMUNICABLE",IF(AND(OR(F32="RETAINS",F32="RETAINS WITH QUALIFICATION"),OR(G32="RETAINS",G32="RETAINS WITH QUALIFICATION")),"INTERNAL GORGONWARS",IF(AND(F32="NOT APPLICABLE",G32="NOT APPLICABLE"),"NOT APPLICABLE","PREMISES UNRESOLVED"))))</x:f>
        <x:v>PREMISES UNRESOLVED</x:v>
      </x:c>
      <x:c r="I32" s="82" t="str">
        <x:f>IF(A32="","",IF(E32=H32,"OK",IF(AO32&lt;&gt;"","OVERRIDDEN","REVIEW")))</x:f>
        <x:v>REVIEW</x:v>
      </x:c>
      <x:c r="J32" s="76" t="str">
        <x:v>Legal theory expanding the category of sexual wrong</x:v>
      </x:c>
      <x:c r="K32" s="76" t="str">
        <x:v>Direct #MeToo defense / internal reply</x:v>
      </x:c>
      <x:c r="L32" s="76" t="str">
        <x:v>Peer-reviewed journal article</x:v>
      </x:c>
      <x:c r="M32" s="76" t="str">
        <x:v>Peer-reviewed</x:v>
      </x:c>
      <x:c r="N32" s="90" t="n">
        <x:v>2021</x:v>
      </x:c>
      <x:c r="O32" s="76" t="str">
        <x:v>Daniel Maggen</x:v>
      </x:c>
      <x:c r="P32" s="76" t="str">
        <x:v>‘When You’re a Star’: The Unnamed Wrong of Sexual Degradation</x:v>
      </x:c>
      <x:c r="Q32" s="76" t="str">
        <x:v>Georgetown Law Journal 109</x:v>
      </x:c>
      <x:c r="R32" s="76" t="str">
        <x:v>English</x:v>
      </x:c>
      <x:c r="S32" s="76" t="str">
        <x:v>#MeToo’s broad grouping can be principled because it identifies sexual degradation, a wrong missed by assault and harassment law in which domination overrides another person’s sexual judgment.</x:v>
      </x:c>
      <x:c r="T32" s="76" t="str">
        <x:v>A constructive internal account rather than foundational dissent.</x:v>
      </x:c>
      <x:c r="U32" s="76" t="str">
        <x:v>Source record verified</x:v>
      </x:c>
      <x:c r="V32" s="76" t="str">
        <x:v>www.law.georgetown.edu/georgetown-law-journal/in-print/volume-109/volume-109-issue-3-february-2021/when-youre-a-star-the-unnamed-wrong-of-sexual-degradation/</x:v>
      </x:c>
      <x:c r="W32" s="76" t="str"/>
      <x:c r="X32" s="94" t="n">
        <x:v>46230</x:v>
      </x:c>
      <x:c r="Y32" s="94" t="n">
        <x:v>46230</x:v>
      </x:c>
      <x:c r="Z32" s="76" t="str"/>
      <x:c r="AA32" s="76" t="str"/>
      <x:c r="AB32" s="76" t="n">
        <x:v>27</x:v>
      </x:c>
      <x:c r="AC32" s="76" t="str">
        <x:v>DEFENSE / INTERNAL REPLY</x:v>
      </x:c>
      <x:c r="AD32" s="76" t="str">
        <x:v>DEFENSE</x:v>
      </x:c>
      <x:c r="AE32" s="76" t="str">
        <x:v>YES</x:v>
      </x:c>
      <x:c r="AF32" s="76" t="str">
        <x:v>Consent, desire, agency, ambiguity, and category compression</x:v>
      </x:c>
      <x:c r="AG32" s="76" t="str">
        <x:v>DIRECT ENTAILMENT</x:v>
      </x:c>
      <x:c r="AH32" s="76" t="str">
        <x:v>Paraphrase: Treats personal disclosure or intimate experience as political knowledge or collective action.</x:v>
      </x:c>
      <x:c r="AI32" s="76" t="str">
        <x:v>Exact locator needed</x:v>
      </x:c>
      <x:c r="AJ32" s="76" t="str">
        <x:v>www.law.georgetown.edu/georgetown-law-journal/in-print/volume-109/volume-109-issue-3-february-2021/when-youre-a-star-the-unnamed-wrong-of-sexual-degradation/</x:v>
      </x:c>
      <x:c r="AK32" s="76" t="str">
        <x:v>NO EVIDENCE</x:v>
      </x:c>
      <x:c r="AL32" s="76" t="str"/>
      <x:c r="AM32" s="76" t="str"/>
      <x:c r="AN32" s="76" t="str"/>
      <x:c r="AO32" s="76" t="str"/>
      <x:c r="AP32" s="76" t="str">
        <x:v>Research team</x:v>
      </x:c>
      <x:c r="AQ32" s="76" t="str">
        <x:v>GORGONWARS-PREMISE-1.0</x:v>
      </x:c>
      <x:c r="AR32" s="76" t="str"/>
      <x:c r="AS32" s="82" t="str">
        <x:f>IF(A32="","",IF(OR(E32="NOT APPLICABLE",E32="PREMISES UNRESOLVED"),"N/A",IF(OR(AND(F32&lt;&gt;"NO EVIDENCE",F32&lt;&gt;"NOT APPLICABLE",OR(AG32="",AH32="",AI32="",AJ32="",AG32="SYSTEM INFERENCE",AG32="ABSTRACT ONLY",AG32="SECONDARY REPORT",AG32="UNVERIFIED",AI32="Exact locator needed",AI32="HAU forum framing; exact target locator needed",AI32="Forum exchange; exact locator needed")),AND(G32&lt;&gt;"NO EVIDENCE",G32&lt;&gt;"NOT APPLICABLE",OR(AK32="",AL32="",AM32="",AN32="",AK32="SYSTEM INFERENCE",AK32="ABSTRACT ONLY",AK32="SECONDARY REPORT",AK32="UNVERIFIED",AM32="Exact locator needed",AM32="HAU forum framing; exact target locator needed",AM32="Forum exchange; exact locator needed"))),"EVIDENCE DEBT","READY")))</x:f>
        <x:v>EVIDENCE DEBT</x:v>
      </x:c>
      <x:c r="AT32" s="77" t="str"/>
    </x:row>
    <x:row r="33" ht="50" customHeight="1">
      <x:c r="A33" s="85" t="n">
        <x:v>28</x:v>
      </x:c>
      <x:c r="B33" s="73" t="str">
        <x:v>Active</x:v>
      </x:c>
      <x:c r="C33" s="89" t="n">
        <x:v>5</x:v>
      </x:c>
      <x:c r="D33" s="82" t="str">
        <x:f>IF(C33="","",IFERROR(VLOOKUP(C33,'Database controls'!$A$5:$B$20,2,FALSE),"NEW / UNCATEGORIZED"))</x:f>
        <x:v>Desire, agency, and sexual ambiguity</x:v>
      </x:c>
      <x:c r="E33" s="73" t="str">
        <x:v>INTERNAL GORGONWARS</x:v>
      </x:c>
      <x:c r="F33" s="73" t="str">
        <x:v>RETAINS</x:v>
      </x:c>
      <x:c r="G33" s="73" t="str">
        <x:v>NO EVIDENCE</x:v>
      </x:c>
      <x:c r="H33" s="82" t="str">
        <x:f>IF(A33="","",IF(OR(F33="REJECTS",G33="REJECTS"),"OUTSIDE / EXCOMMUNICABLE",IF(AND(OR(F33="RETAINS",F33="RETAINS WITH QUALIFICATION"),OR(G33="RETAINS",G33="RETAINS WITH QUALIFICATION")),"INTERNAL GORGONWARS",IF(AND(F33="NOT APPLICABLE",G33="NOT APPLICABLE"),"NOT APPLICABLE","PREMISES UNRESOLVED"))))</x:f>
        <x:v>PREMISES UNRESOLVED</x:v>
      </x:c>
      <x:c r="I33" s="82" t="str">
        <x:f>IF(A33="","",IF(E33=H33,"OK",IF(AO33&lt;&gt;"","OVERRIDDEN","REVIEW")))</x:f>
        <x:v>REVIEW</x:v>
      </x:c>
      <x:c r="J33" s="73" t="str">
        <x:v>Feminist theory of agency under oppressive norms</x:v>
      </x:c>
      <x:c r="K33" s="73" t="str">
        <x:v>Direct #MeToo defense / internal reply</x:v>
      </x:c>
      <x:c r="L33" s="73" t="str">
        <x:v>Peer-reviewed journal article</x:v>
      </x:c>
      <x:c r="M33" s="73" t="str">
        <x:v>Peer-reviewed</x:v>
      </x:c>
      <x:c r="N33" s="89" t="n">
        <x:v>2019</x:v>
      </x:c>
      <x:c r="O33" s="73" t="str">
        <x:v>Charlotte Knowles</x:v>
      </x:c>
      <x:c r="P33" s="73" t="str">
        <x:v>Beauvoir on Women’s Complicity in Their Own Unfreedom</x:v>
      </x:c>
      <x:c r="Q33" s="73" t="str">
        <x:v>Hypatia 34(2):242–265</x:v>
      </x:c>
      <x:c r="R33" s="73" t="str">
        <x:v>English</x:v>
      </x:c>
      <x:c r="S33" s="73" t="str">
        <x:v>A woman can sincerely call a sexual norm liberating while an oppressive social world shapes that choice, so Deneuve-style agency claims may be active complicity rather than freedom.</x:v>
      </x:c>
      <x:c r="T33" s="73" t="str">
        <x:v>A reception and theoretical counterargument, not evidence that every dissenter lacks agency.</x:v>
      </x:c>
      <x:c r="U33" s="73" t="str">
        <x:v>Source record verified</x:v>
      </x:c>
      <x:c r="V33" s="73" t="str">
        <x:v>www.doi.org/10.1111/hypa.12469</x:v>
      </x:c>
      <x:c r="W33" s="73" t="str">
        <x:v>10.1111/hypa.12469</x:v>
      </x:c>
      <x:c r="X33" s="93" t="n">
        <x:v>46230</x:v>
      </x:c>
      <x:c r="Y33" s="93" t="n">
        <x:v>46230</x:v>
      </x:c>
      <x:c r="Z33" s="73" t="str"/>
      <x:c r="AA33" s="73" t="str"/>
      <x:c r="AB33" s="73" t="n">
        <x:v>28</x:v>
      </x:c>
      <x:c r="AC33" s="73" t="str">
        <x:v>DEFENSE / INTERNAL REPLY</x:v>
      </x:c>
      <x:c r="AD33" s="73" t="str">
        <x:v>DEFENSE</x:v>
      </x:c>
      <x:c r="AE33" s="73" t="str">
        <x:v>YES</x:v>
      </x:c>
      <x:c r="AF33" s="73" t="str">
        <x:v>Consent, desire, agency, ambiguity, and category compression</x:v>
      </x:c>
      <x:c r="AG33" s="73" t="str">
        <x:v>DIRECT ENTAILMENT</x:v>
      </x:c>
      <x:c r="AH33" s="73" t="str">
        <x:v>Paraphrase: Treats personal disclosure or intimate experience as political knowledge or collective action.</x:v>
      </x:c>
      <x:c r="AI33" s="73" t="str">
        <x:v>Exact locator needed</x:v>
      </x:c>
      <x:c r="AJ33" s="73" t="str">
        <x:v>www.doi.org/10.1111/hypa.12469</x:v>
      </x:c>
      <x:c r="AK33" s="73" t="str">
        <x:v>NO EVIDENCE</x:v>
      </x:c>
      <x:c r="AL33" s="73" t="str"/>
      <x:c r="AM33" s="73" t="str"/>
      <x:c r="AN33" s="73" t="str"/>
      <x:c r="AO33" s="73" t="str"/>
      <x:c r="AP33" s="73" t="str">
        <x:v>Research team</x:v>
      </x:c>
      <x:c r="AQ33" s="73" t="str">
        <x:v>GORGONWARS-PREMISE-1.0</x:v>
      </x:c>
      <x:c r="AR33" s="73" t="str"/>
      <x:c r="AS33" s="82" t="str">
        <x:f>IF(A33="","",IF(OR(E33="NOT APPLICABLE",E33="PREMISES UNRESOLVED"),"N/A",IF(OR(AND(F33&lt;&gt;"NO EVIDENCE",F33&lt;&gt;"NOT APPLICABLE",OR(AG33="",AH33="",AI33="",AJ33="",AG33="SYSTEM INFERENCE",AG33="ABSTRACT ONLY",AG33="SECONDARY REPORT",AG33="UNVERIFIED",AI33="Exact locator needed",AI33="HAU forum framing; exact target locator needed",AI33="Forum exchange; exact locator needed")),AND(G33&lt;&gt;"NO EVIDENCE",G33&lt;&gt;"NOT APPLICABLE",OR(AK33="",AL33="",AM33="",AN33="",AK33="SYSTEM INFERENCE",AK33="ABSTRACT ONLY",AK33="SECONDARY REPORT",AK33="UNVERIFIED",AM33="Exact locator needed",AM33="HAU forum framing; exact target locator needed",AM33="Forum exchange; exact locator needed"))),"EVIDENCE DEBT","READY")))</x:f>
        <x:v>EVIDENCE DEBT</x:v>
      </x:c>
      <x:c r="AT33" s="74" t="str"/>
    </x:row>
    <x:row r="34" ht="50" customHeight="1">
      <x:c r="A34" s="86" t="n">
        <x:v>29</x:v>
      </x:c>
      <x:c r="B34" s="76" t="str">
        <x:v>Active</x:v>
      </x:c>
      <x:c r="C34" s="90" t="n">
        <x:v>5</x:v>
      </x:c>
      <x:c r="D34" s="82" t="str">
        <x:f>IF(C34="","",IFERROR(VLOOKUP(C34,'Database controls'!$A$5:$B$20,2,FALSE),"NEW / UNCATEGORIZED"))</x:f>
        <x:v>Desire, agency, and sexual ambiguity</x:v>
      </x:c>
      <x:c r="E34" s="76" t="str">
        <x:v>PREMISES UNRESOLVED</x:v>
      </x:c>
      <x:c r="F34" s="76" t="str">
        <x:v>NO EVIDENCE</x:v>
      </x:c>
      <x:c r="G34" s="76" t="str">
        <x:v>NO EVIDENCE</x:v>
      </x:c>
      <x:c r="H34" s="82" t="str">
        <x:f>IF(A34="","",IF(OR(F34="REJECTS",G34="REJECTS"),"OUTSIDE / EXCOMMUNICABLE",IF(AND(OR(F34="RETAINS",F34="RETAINS WITH QUALIFICATION"),OR(G34="RETAINS",G34="RETAINS WITH QUALIFICATION")),"INTERNAL GORGONWARS",IF(AND(F34="NOT APPLICABLE",G34="NOT APPLICABLE"),"NOT APPLICABLE","PREMISES UNRESOLVED"))))</x:f>
        <x:v>PREMISES UNRESOLVED</x:v>
      </x:c>
      <x:c r="I34" s="82" t="str">
        <x:f>IF(A34="","",IF(E34=H34,"OK",IF(AO34&lt;&gt;"","OVERRIDDEN","REVIEW")))</x:f>
        <x:v>OK</x:v>
      </x:c>
      <x:c r="J34" s="76" t="str">
        <x:v>Internal redirection from sexual exceptionalism to broader power</x:v>
      </x:c>
      <x:c r="K34" s="76" t="str">
        <x:v>Direct #MeToo critique</x:v>
      </x:c>
      <x:c r="L34" s="76" t="str">
        <x:v>Peer-reviewed journal article</x:v>
      </x:c>
      <x:c r="M34" s="76" t="str">
        <x:v>Peer-reviewed</x:v>
      </x:c>
      <x:c r="N34" s="90" t="n">
        <x:v>2019</x:v>
      </x:c>
      <x:c r="O34" s="76" t="str">
        <x:v>Aya Gruber</x:v>
      </x:c>
      <x:c r="P34" s="76" t="str">
        <x:v>Sex Wars as Proxy Wars</x:v>
      </x:c>
      <x:c r="Q34" s="76" t="str">
        <x:v>Critical Analysis of Law 6(1):102–134</x:v>
      </x:c>
      <x:c r="R34" s="76" t="str">
        <x:v>English</x:v>
      </x:c>
      <x:c r="S34" s="76" t="str">
        <x:v>Sexual harm often becomes a symbolic battlefield for deeper disputes about hierarchy and capitalism, and a sex-indifferent analysis can expose power that sexual exceptionalism obscures.</x:v>
      </x:c>
      <x:c r="T34" s="76" t="str">
        <x:v>Does not establish rejection of the public/private collapse; it redirects an internal structural analysis.</x:v>
      </x:c>
      <x:c r="U34" s="76" t="str">
        <x:v>Source record verified</x:v>
      </x:c>
      <x:c r="V34" s="76" t="str">
        <x:v>www.scholar.law.colorado.edu/faculty-articles/1232/</x:v>
      </x:c>
      <x:c r="W34" s="76" t="str"/>
      <x:c r="X34" s="94" t="n">
        <x:v>46230</x:v>
      </x:c>
      <x:c r="Y34" s="94" t="n">
        <x:v>46230</x:v>
      </x:c>
      <x:c r="Z34" s="76" t="str"/>
      <x:c r="AA34" s="76" t="str"/>
      <x:c r="AB34" s="76" t="n">
        <x:v>29</x:v>
      </x:c>
      <x:c r="AC34" s="76" t="str">
        <x:v>ADJACENT CONTEXT</x:v>
      </x:c>
      <x:c r="AD34" s="76" t="str">
        <x:v>UNCLEAR</x:v>
      </x:c>
      <x:c r="AE34" s="76" t="str">
        <x:v>YES</x:v>
      </x:c>
      <x:c r="AF34" s="76" t="str">
        <x:v>Consent, desire, agency, ambiguity, and category compression</x:v>
      </x:c>
      <x:c r="AG34" s="76" t="str">
        <x:v>NO EVIDENCE</x:v>
      </x:c>
      <x:c r="AH34" s="76" t="str"/>
      <x:c r="AI34" s="76" t="str"/>
      <x:c r="AJ34" s="76" t="str"/>
      <x:c r="AK34" s="76" t="str">
        <x:v>NO EVIDENCE</x:v>
      </x:c>
      <x:c r="AL34" s="76" t="str"/>
      <x:c r="AM34" s="76" t="str"/>
      <x:c r="AN34" s="76" t="str"/>
      <x:c r="AO34" s="76" t="str"/>
      <x:c r="AP34" s="76" t="str">
        <x:v>Research team</x:v>
      </x:c>
      <x:c r="AQ34" s="76" t="str">
        <x:v>GORGONWARS-PREMISE-1.0</x:v>
      </x:c>
      <x:c r="AR34" s="76" t="str"/>
      <x:c r="AS34" s="82" t="str">
        <x:f>IF(A34="","",IF(OR(E34="NOT APPLICABLE",E34="PREMISES UNRESOLVED"),"N/A",IF(OR(AND(F34&lt;&gt;"NO EVIDENCE",F34&lt;&gt;"NOT APPLICABLE",OR(AG34="",AH34="",AI34="",AJ34="",AG34="SYSTEM INFERENCE",AG34="ABSTRACT ONLY",AG34="SECONDARY REPORT",AG34="UNVERIFIED",AI34="Exact locator needed",AI34="HAU forum framing; exact target locator needed",AI34="Forum exchange; exact locator needed")),AND(G34&lt;&gt;"NO EVIDENCE",G34&lt;&gt;"NOT APPLICABLE",OR(AK34="",AL34="",AM34="",AN34="",AK34="SYSTEM INFERENCE",AK34="ABSTRACT ONLY",AK34="SECONDARY REPORT",AK34="UNVERIFIED",AM34="Exact locator needed",AM34="HAU forum framing; exact target locator needed",AM34="Forum exchange; exact locator needed"))),"EVIDENCE DEBT","READY")))</x:f>
        <x:v>N/A</x:v>
      </x:c>
      <x:c r="AT34" s="77" t="str"/>
    </x:row>
    <x:row r="35" ht="50" customHeight="1">
      <x:c r="A35" s="85" t="n">
        <x:v>30</x:v>
      </x:c>
      <x:c r="B35" s="73" t="str">
        <x:v>Active</x:v>
      </x:c>
      <x:c r="C35" s="89" t="n">
        <x:v>6</x:v>
      </x:c>
      <x:c r="D35" s="82" t="str">
        <x:f>IF(C35="","",IFERROR(VLOOKUP(C35,'Database controls'!$A$5:$B$20,2,FALSE),"NEW / UNCATEGORIZED"))</x:f>
        <x:v>Due process, punishment, and procedural limits</x:v>
      </x:c>
      <x:c r="E35" s="73" t="str">
        <x:v>PREMISES UNRESOLVED</x:v>
      </x:c>
      <x:c r="F35" s="73" t="str">
        <x:v>NO EVIDENCE</x:v>
      </x:c>
      <x:c r="G35" s="73" t="str">
        <x:v>NO EVIDENCE</x:v>
      </x:c>
      <x:c r="H35" s="82" t="str">
        <x:f>IF(A35="","",IF(OR(F35="REJECTS",G35="REJECTS"),"OUTSIDE / EXCOMMUNICABLE",IF(AND(OR(F35="RETAINS",F35="RETAINS WITH QUALIFICATION"),OR(G35="RETAINS",G35="RETAINS WITH QUALIFICATION")),"INTERNAL GORGONWARS",IF(AND(F35="NOT APPLICABLE",G35="NOT APPLICABLE"),"NOT APPLICABLE","PREMISES UNRESOLVED"))))</x:f>
        <x:v>PREMISES UNRESOLVED</x:v>
      </x:c>
      <x:c r="I35" s="82" t="str">
        <x:f>IF(A35="","",IF(E35=H35,"OK",IF(AO35&lt;&gt;"","OVERRIDDEN","REVIEW")))</x:f>
        <x:v>OK</x:v>
      </x:c>
      <x:c r="J35" s="73" t="str">
        <x:v>Institutional due-process intervention</x:v>
      </x:c>
      <x:c r="K35" s="73" t="str">
        <x:v>Direct #MeToo critique</x:v>
      </x:c>
      <x:c r="L35" s="73" t="str">
        <x:v>Academic forum / editorial</x:v>
      </x:c>
      <x:c r="M35" s="73" t="str">
        <x:v>Academic forum / editorial</x:v>
      </x:c>
      <x:c r="N35" s="89" t="n">
        <x:v>2018</x:v>
      </x:c>
      <x:c r="O35" s="73" t="str">
        <x:v>Kristen Renwick Monroe</x:v>
      </x:c>
      <x:c r="P35" s="73" t="str">
        <x:v>Harassment Charges: MeToo but Due Process</x:v>
      </x:c>
      <x:c r="Q35" s="73" t="str">
        <x:v>Science 361(6403):656</x:v>
      </x:c>
      <x:c r="R35" s="73" t="str">
        <x:v>English</x:v>
      </x:c>
      <x:c r="S35" s="73" t="str">
        <x:v>Institutions should treat harassment seriously through transparent rules, knowable procedures, and sanctions proportionate to proven wrongdoing, protecting complainants and accused people from opaque institutional power.</x:v>
      </x:c>
      <x:c r="T35" s="73" t="str">
        <x:v>A short intervention; due-process advocacy alone does not prove rejection of the two feminist premises.</x:v>
      </x:c>
      <x:c r="U35" s="73" t="str">
        <x:v>Source record verified</x:v>
      </x:c>
      <x:c r="V35" s="73" t="str">
        <x:v>www.doi.org/10.1126/science.aau7986</x:v>
      </x:c>
      <x:c r="W35" s="73" t="str">
        <x:v>10.1126/science.aau7986</x:v>
      </x:c>
      <x:c r="X35" s="93" t="n">
        <x:v>46230</x:v>
      </x:c>
      <x:c r="Y35" s="93" t="n">
        <x:v>46230</x:v>
      </x:c>
      <x:c r="Z35" s="73" t="str"/>
      <x:c r="AA35" s="73" t="str"/>
      <x:c r="AB35" s="73" t="n">
        <x:v>30</x:v>
      </x:c>
      <x:c r="AC35" s="73" t="str">
        <x:v>ADJACENT CONTEXT</x:v>
      </x:c>
      <x:c r="AD35" s="73" t="str">
        <x:v>UNCLEAR</x:v>
      </x:c>
      <x:c r="AE35" s="73" t="str">
        <x:v>YES</x:v>
      </x:c>
      <x:c r="AF35" s="73" t="str">
        <x:v>Due process, publicity, punishment, proportionality, and carcerality</x:v>
      </x:c>
      <x:c r="AG35" s="73" t="str">
        <x:v>NO EVIDENCE</x:v>
      </x:c>
      <x:c r="AH35" s="73" t="str"/>
      <x:c r="AI35" s="73" t="str"/>
      <x:c r="AJ35" s="73" t="str"/>
      <x:c r="AK35" s="73" t="str">
        <x:v>NO EVIDENCE</x:v>
      </x:c>
      <x:c r="AL35" s="73" t="str"/>
      <x:c r="AM35" s="73" t="str"/>
      <x:c r="AN35" s="73" t="str"/>
      <x:c r="AO35" s="73" t="str"/>
      <x:c r="AP35" s="73" t="str">
        <x:v>Research team</x:v>
      </x:c>
      <x:c r="AQ35" s="73" t="str">
        <x:v>GORGONWARS-PREMISE-1.0</x:v>
      </x:c>
      <x:c r="AR35" s="73" t="str"/>
      <x:c r="AS35" s="82" t="str">
        <x:f>IF(A35="","",IF(OR(E35="NOT APPLICABLE",E35="PREMISES UNRESOLVED"),"N/A",IF(OR(AND(F35&lt;&gt;"NO EVIDENCE",F35&lt;&gt;"NOT APPLICABLE",OR(AG35="",AH35="",AI35="",AJ35="",AG35="SYSTEM INFERENCE",AG35="ABSTRACT ONLY",AG35="SECONDARY REPORT",AG35="UNVERIFIED",AI35="Exact locator needed",AI35="HAU forum framing; exact target locator needed",AI35="Forum exchange; exact locator needed")),AND(G35&lt;&gt;"NO EVIDENCE",G35&lt;&gt;"NOT APPLICABLE",OR(AK35="",AL35="",AM35="",AN35="",AK35="SYSTEM INFERENCE",AK35="ABSTRACT ONLY",AK35="SECONDARY REPORT",AK35="UNVERIFIED",AM35="Exact locator needed",AM35="HAU forum framing; exact target locator needed",AM35="Forum exchange; exact locator needed"))),"EVIDENCE DEBT","READY")))</x:f>
        <x:v>N/A</x:v>
      </x:c>
      <x:c r="AT35" s="74" t="str"/>
    </x:row>
    <x:row r="36" ht="50" customHeight="1">
      <x:c r="A36" s="86" t="n">
        <x:v>31</x:v>
      </x:c>
      <x:c r="B36" s="76" t="str">
        <x:v>Active</x:v>
      </x:c>
      <x:c r="C36" s="90" t="n">
        <x:v>6</x:v>
      </x:c>
      <x:c r="D36" s="82" t="str">
        <x:f>IF(C36="","",IFERROR(VLOOKUP(C36,'Database controls'!$A$5:$B$20,2,FALSE),"NEW / UNCATEGORIZED"))</x:f>
        <x:v>Due process, punishment, and procedural limits</x:v>
      </x:c>
      <x:c r="E36" s="76" t="str">
        <x:v>PREMISES UNRESOLVED</x:v>
      </x:c>
      <x:c r="F36" s="76" t="str">
        <x:v>NO EVIDENCE</x:v>
      </x:c>
      <x:c r="G36" s="76" t="str">
        <x:v>NO EVIDENCE</x:v>
      </x:c>
      <x:c r="H36" s="82" t="str">
        <x:f>IF(A36="","",IF(OR(F36="REJECTS",G36="REJECTS"),"OUTSIDE / EXCOMMUNICABLE",IF(AND(OR(F36="RETAINS",F36="RETAINS WITH QUALIFICATION"),OR(G36="RETAINS",G36="RETAINS WITH QUALIFICATION")),"INTERNAL GORGONWARS",IF(AND(F36="NOT APPLICABLE",G36="NOT APPLICABLE"),"NOT APPLICABLE","PREMISES UNRESOLVED"))))</x:f>
        <x:v>PREMISES UNRESOLVED</x:v>
      </x:c>
      <x:c r="I36" s="82" t="str">
        <x:f>IF(A36="","",IF(E36=H36,"OK",IF(AO36&lt;&gt;"","OVERRIDDEN","REVIEW")))</x:f>
        <x:v>OK</x:v>
      </x:c>
      <x:c r="J36" s="76" t="str">
        <x:v>Comparative legal-process analysis</x:v>
      </x:c>
      <x:c r="K36" s="76" t="str">
        <x:v>Direct #MeToo critique</x:v>
      </x:c>
      <x:c r="L36" s="76" t="str">
        <x:v>Law review article</x:v>
      </x:c>
      <x:c r="M36" s="76" t="str">
        <x:v>Law review / editorial review</x:v>
      </x:c>
      <x:c r="N36" s="90" t="n">
        <x:v>2022</x:v>
      </x:c>
      <x:c r="O36" s="76" t="str">
        <x:v>Nicole Buonocore Porter</x:v>
      </x:c>
      <x:c r="P36" s="76" t="str">
        <x:v>#MeToo and the Process That’s Due: Sexual Misconduct Where We Live, Work, and Learn</x:v>
      </x:c>
      <x:c r="Q36" s="76" t="str">
        <x:v>University of Illinois Law Review 2022(2):663–706</x:v>
      </x:c>
      <x:c r="R36" s="76" t="str">
        <x:v>English</x:v>
      </x:c>
      <x:c r="S36" s="76" t="str">
        <x:v>Similar misconduct receives inconsistent procedures under criminal law, Title VII, and Title IX, so procedural protections should be calibrated coherently across workplaces and schools.</x:v>
      </x:c>
      <x:c r="T36" s="76" t="str">
        <x:v>Does not simply demand criminal-trial process everywhere and does not establish foundational dissent.</x:v>
      </x:c>
      <x:c r="U36" s="76" t="str">
        <x:v>Source record verified</x:v>
      </x:c>
      <x:c r="V36" s="76" t="str">
        <x:v>www.illinoislawreview.org/print/vol-2022-no-2/metoo-and-the-process-thats-due/</x:v>
      </x:c>
      <x:c r="W36" s="76" t="str"/>
      <x:c r="X36" s="94" t="n">
        <x:v>46230</x:v>
      </x:c>
      <x:c r="Y36" s="94" t="n">
        <x:v>46230</x:v>
      </x:c>
      <x:c r="Z36" s="76" t="str"/>
      <x:c r="AA36" s="76" t="str"/>
      <x:c r="AB36" s="76" t="n">
        <x:v>31</x:v>
      </x:c>
      <x:c r="AC36" s="76" t="str">
        <x:v>ADJACENT CONTEXT</x:v>
      </x:c>
      <x:c r="AD36" s="76" t="str">
        <x:v>UNCLEAR</x:v>
      </x:c>
      <x:c r="AE36" s="76" t="str">
        <x:v>YES</x:v>
      </x:c>
      <x:c r="AF36" s="76" t="str">
        <x:v>Due process, publicity, punishment, proportionality, and carcerality</x:v>
      </x:c>
      <x:c r="AG36" s="76" t="str">
        <x:v>NO EVIDENCE</x:v>
      </x:c>
      <x:c r="AH36" s="76" t="str"/>
      <x:c r="AI36" s="76" t="str"/>
      <x:c r="AJ36" s="76" t="str"/>
      <x:c r="AK36" s="76" t="str">
        <x:v>NO EVIDENCE</x:v>
      </x:c>
      <x:c r="AL36" s="76" t="str"/>
      <x:c r="AM36" s="76" t="str"/>
      <x:c r="AN36" s="76" t="str"/>
      <x:c r="AO36" s="76" t="str"/>
      <x:c r="AP36" s="76" t="str">
        <x:v>Research team</x:v>
      </x:c>
      <x:c r="AQ36" s="76" t="str">
        <x:v>GORGONWARS-PREMISE-1.0</x:v>
      </x:c>
      <x:c r="AR36" s="76" t="str"/>
      <x:c r="AS36" s="82" t="str">
        <x:f>IF(A36="","",IF(OR(E36="NOT APPLICABLE",E36="PREMISES UNRESOLVED"),"N/A",IF(OR(AND(F36&lt;&gt;"NO EVIDENCE",F36&lt;&gt;"NOT APPLICABLE",OR(AG36="",AH36="",AI36="",AJ36="",AG36="SYSTEM INFERENCE",AG36="ABSTRACT ONLY",AG36="SECONDARY REPORT",AG36="UNVERIFIED",AI36="Exact locator needed",AI36="HAU forum framing; exact target locator needed",AI36="Forum exchange; exact locator needed")),AND(G36&lt;&gt;"NO EVIDENCE",G36&lt;&gt;"NOT APPLICABLE",OR(AK36="",AL36="",AM36="",AN36="",AK36="SYSTEM INFERENCE",AK36="ABSTRACT ONLY",AK36="SECONDARY REPORT",AK36="UNVERIFIED",AM36="Exact locator needed",AM36="HAU forum framing; exact target locator needed",AM36="Forum exchange; exact locator needed"))),"EVIDENCE DEBT","READY")))</x:f>
        <x:v>N/A</x:v>
      </x:c>
      <x:c r="AT36" s="77" t="str"/>
    </x:row>
    <x:row r="37" ht="50" customHeight="1">
      <x:c r="A37" s="85" t="n">
        <x:v>32</x:v>
      </x:c>
      <x:c r="B37" s="73" t="str">
        <x:v>Active</x:v>
      </x:c>
      <x:c r="C37" s="89" t="n">
        <x:v>6</x:v>
      </x:c>
      <x:c r="D37" s="82" t="str">
        <x:f>IF(C37="","",IFERROR(VLOOKUP(C37,'Database controls'!$A$5:$B$20,2,FALSE),"NEW / UNCATEGORIZED"))</x:f>
        <x:v>Due process, punishment, and procedural limits</x:v>
      </x:c>
      <x:c r="E37" s="73" t="str">
        <x:v>PREMISES UNRESOLVED</x:v>
      </x:c>
      <x:c r="F37" s="73" t="str">
        <x:v>NO EVIDENCE</x:v>
      </x:c>
      <x:c r="G37" s="73" t="str">
        <x:v>NO EVIDENCE</x:v>
      </x:c>
      <x:c r="H37" s="82" t="str">
        <x:f>IF(A37="","",IF(OR(F37="REJECTS",G37="REJECTS"),"OUTSIDE / EXCOMMUNICABLE",IF(AND(OR(F37="RETAINS",F37="RETAINS WITH QUALIFICATION"),OR(G37="RETAINS",G37="RETAINS WITH QUALIFICATION")),"INTERNAL GORGONWARS",IF(AND(F37="NOT APPLICABLE",G37="NOT APPLICABLE"),"NOT APPLICABLE","PREMISES UNRESOLVED"))))</x:f>
        <x:v>PREMISES UNRESOLVED</x:v>
      </x:c>
      <x:c r="I37" s="82" t="str">
        <x:f>IF(A37="","",IF(E37=H37,"OK",IF(AO37&lt;&gt;"","OVERRIDDEN","REVIEW")))</x:f>
        <x:v>OK</x:v>
      </x:c>
      <x:c r="J37" s="73" t="str">
        <x:v>Employment-process critique of unequal procedural protection</x:v>
      </x:c>
      <x:c r="K37" s="73" t="str">
        <x:v>Direct #MeToo critique</x:v>
      </x:c>
      <x:c r="L37" s="73" t="str">
        <x:v>Peer-reviewed journal article</x:v>
      </x:c>
      <x:c r="M37" s="73" t="str">
        <x:v>Peer-reviewed</x:v>
      </x:c>
      <x:c r="N37" s="89" t="n">
        <x:v>2018</x:v>
      </x:c>
      <x:c r="O37" s="73" t="str">
        <x:v>Rachel Arnow-Richman</x:v>
      </x:c>
      <x:c r="P37" s="73" t="str">
        <x:v>Of Power and Process: Handling Harassers in an At-Will World</x:v>
      </x:c>
      <x:c r="Q37" s="73" t="str">
        <x:v>Yale Law Journal Forum 128</x:v>
      </x:c>
      <x:c r="R37" s="73" t="str">
        <x:v>English</x:v>
      </x:c>
      <x:c r="S37" s="73" t="str">
        <x:v>At-will employment shields powerful executives through contracts while exposing ordinary workers to swift discipline, so accountability should remove elite protections while giving vulnerable workers fair procedures.</x:v>
      </x:c>
      <x:c r="T37" s="73" t="str">
        <x:v>An employment-law design argument, not a direct position on standpoint epistemology or the public/private boundary.</x:v>
      </x:c>
      <x:c r="U37" s="73" t="str">
        <x:v>Source record verified</x:v>
      </x:c>
      <x:c r="V37" s="73" t="str">
        <x:v>www.yalelawjournal.org/essay/of-power-and-process</x:v>
      </x:c>
      <x:c r="W37" s="73" t="str"/>
      <x:c r="X37" s="93" t="n">
        <x:v>46230</x:v>
      </x:c>
      <x:c r="Y37" s="93" t="n">
        <x:v>46230</x:v>
      </x:c>
      <x:c r="Z37" s="73" t="str"/>
      <x:c r="AA37" s="73" t="str"/>
      <x:c r="AB37" s="73" t="n">
        <x:v>32</x:v>
      </x:c>
      <x:c r="AC37" s="73" t="str">
        <x:v>ADJACENT CONTEXT</x:v>
      </x:c>
      <x:c r="AD37" s="73" t="str">
        <x:v>UNCLEAR</x:v>
      </x:c>
      <x:c r="AE37" s="73" t="str">
        <x:v>YES</x:v>
      </x:c>
      <x:c r="AF37" s="73" t="str">
        <x:v>Due process, publicity, punishment, proportionality, and carcerality</x:v>
      </x:c>
      <x:c r="AG37" s="73" t="str">
        <x:v>NO EVIDENCE</x:v>
      </x:c>
      <x:c r="AH37" s="73" t="str"/>
      <x:c r="AI37" s="73" t="str"/>
      <x:c r="AJ37" s="73" t="str"/>
      <x:c r="AK37" s="73" t="str">
        <x:v>NO EVIDENCE</x:v>
      </x:c>
      <x:c r="AL37" s="73" t="str"/>
      <x:c r="AM37" s="73" t="str"/>
      <x:c r="AN37" s="73" t="str"/>
      <x:c r="AO37" s="73" t="str"/>
      <x:c r="AP37" s="73" t="str">
        <x:v>Research team</x:v>
      </x:c>
      <x:c r="AQ37" s="73" t="str">
        <x:v>GORGONWARS-PREMISE-1.0</x:v>
      </x:c>
      <x:c r="AR37" s="73" t="str"/>
      <x:c r="AS37" s="82" t="str">
        <x:f>IF(A37="","",IF(OR(E37="NOT APPLICABLE",E37="PREMISES UNRESOLVED"),"N/A",IF(OR(AND(F37&lt;&gt;"NO EVIDENCE",F37&lt;&gt;"NOT APPLICABLE",OR(AG37="",AH37="",AI37="",AJ37="",AG37="SYSTEM INFERENCE",AG37="ABSTRACT ONLY",AG37="SECONDARY REPORT",AG37="UNVERIFIED",AI37="Exact locator needed",AI37="HAU forum framing; exact target locator needed",AI37="Forum exchange; exact locator needed")),AND(G37&lt;&gt;"NO EVIDENCE",G37&lt;&gt;"NOT APPLICABLE",OR(AK37="",AL37="",AM37="",AN37="",AK37="SYSTEM INFERENCE",AK37="ABSTRACT ONLY",AK37="SECONDARY REPORT",AK37="UNVERIFIED",AM37="Exact locator needed",AM37="HAU forum framing; exact target locator needed",AM37="Forum exchange; exact locator needed"))),"EVIDENCE DEBT","READY")))</x:f>
        <x:v>N/A</x:v>
      </x:c>
      <x:c r="AT37" s="74" t="str"/>
    </x:row>
    <x:row r="38" ht="50" customHeight="1">
      <x:c r="A38" s="86" t="n">
        <x:v>33</x:v>
      </x:c>
      <x:c r="B38" s="76" t="str">
        <x:v>Active</x:v>
      </x:c>
      <x:c r="C38" s="90" t="n">
        <x:v>6</x:v>
      </x:c>
      <x:c r="D38" s="82" t="str">
        <x:f>IF(C38="","",IFERROR(VLOOKUP(C38,'Database controls'!$A$5:$B$20,2,FALSE),"NEW / UNCATEGORIZED"))</x:f>
        <x:v>Due process, punishment, and procedural limits</x:v>
      </x:c>
      <x:c r="E38" s="76" t="str">
        <x:v>PREMISES UNRESOLVED</x:v>
      </x:c>
      <x:c r="F38" s="76" t="str">
        <x:v>NO EVIDENCE</x:v>
      </x:c>
      <x:c r="G38" s="76" t="str">
        <x:v>NO EVIDENCE</x:v>
      </x:c>
      <x:c r="H38" s="82" t="str">
        <x:f>IF(A38="","",IF(OR(F38="REJECTS",G38="REJECTS"),"OUTSIDE / EXCOMMUNICABLE",IF(AND(OR(F38="RETAINS",F38="RETAINS WITH QUALIFICATION"),OR(G38="RETAINS",G38="RETAINS WITH QUALIFICATION")),"INTERNAL GORGONWARS",IF(AND(F38="NOT APPLICABLE",G38="NOT APPLICABLE"),"NOT APPLICABLE","PREMISES UNRESOLVED"))))</x:f>
        <x:v>PREMISES UNRESOLVED</x:v>
      </x:c>
      <x:c r="I38" s="82" t="str">
        <x:f>IF(A38="","",IF(E38=H38,"OK",IF(AO38&lt;&gt;"","OVERRIDDEN","REVIEW")))</x:f>
        <x:v>OK</x:v>
      </x:c>
      <x:c r="J38" s="76" t="str">
        <x:v>Procedural-justice framework for noncriminal venues</x:v>
      </x:c>
      <x:c r="K38" s="76" t="str">
        <x:v>Direct #MeToo critique</x:v>
      </x:c>
      <x:c r="L38" s="76" t="str">
        <x:v>Law review article</x:v>
      </x:c>
      <x:c r="M38" s="76" t="str">
        <x:v>Law review / editorial review</x:v>
      </x:c>
      <x:c r="N38" s="90" t="n">
        <x:v>2019</x:v>
      </x:c>
      <x:c r="O38" s="76" t="str">
        <x:v>Lesley Wexler</x:v>
      </x:c>
      <x:c r="P38" s="76" t="str">
        <x:v>#MeToo and Procedural Justice</x:v>
      </x:c>
      <x:c r="Q38" s="76" t="str">
        <x:v>Richmond Public Interest Law Review 22(2)</x:v>
      </x:c>
      <x:c r="R38" s="76" t="str">
        <x:v>English</x:v>
      </x:c>
      <x:c r="S38" s="76" t="str">
        <x:v>Criminal due process cannot simply be copied into every informal setting, but employers, media, and movements should design context-specific procedures that preserve fairness and legitimacy.</x:v>
      </x:c>
      <x:c r="T38" s="76" t="str">
        <x:v>Rejects a one-size-fits-all process while leaving the two premises unstated.</x:v>
      </x:c>
      <x:c r="U38" s="76" t="str">
        <x:v>Source record verified</x:v>
      </x:c>
      <x:c r="V38" s="76" t="str">
        <x:v>www.scholarship.richmond.edu/pilr/vol22/iss2/4/</x:v>
      </x:c>
      <x:c r="W38" s="76" t="str"/>
      <x:c r="X38" s="94" t="n">
        <x:v>46230</x:v>
      </x:c>
      <x:c r="Y38" s="94" t="n">
        <x:v>46230</x:v>
      </x:c>
      <x:c r="Z38" s="76" t="str"/>
      <x:c r="AA38" s="76" t="str"/>
      <x:c r="AB38" s="76" t="n">
        <x:v>33</x:v>
      </x:c>
      <x:c r="AC38" s="76" t="str">
        <x:v>ADJACENT CONTEXT</x:v>
      </x:c>
      <x:c r="AD38" s="76" t="str">
        <x:v>UNCLEAR</x:v>
      </x:c>
      <x:c r="AE38" s="76" t="str">
        <x:v>YES</x:v>
      </x:c>
      <x:c r="AF38" s="76" t="str">
        <x:v>Due process, publicity, punishment, proportionality, and carcerality</x:v>
      </x:c>
      <x:c r="AG38" s="76" t="str">
        <x:v>NO EVIDENCE</x:v>
      </x:c>
      <x:c r="AH38" s="76" t="str"/>
      <x:c r="AI38" s="76" t="str"/>
      <x:c r="AJ38" s="76" t="str"/>
      <x:c r="AK38" s="76" t="str">
        <x:v>NO EVIDENCE</x:v>
      </x:c>
      <x:c r="AL38" s="76" t="str"/>
      <x:c r="AM38" s="76" t="str"/>
      <x:c r="AN38" s="76" t="str"/>
      <x:c r="AO38" s="76" t="str"/>
      <x:c r="AP38" s="76" t="str">
        <x:v>Research team</x:v>
      </x:c>
      <x:c r="AQ38" s="76" t="str">
        <x:v>GORGONWARS-PREMISE-1.0</x:v>
      </x:c>
      <x:c r="AR38" s="76" t="str"/>
      <x:c r="AS38" s="82" t="str">
        <x:f>IF(A38="","",IF(OR(E38="NOT APPLICABLE",E38="PREMISES UNRESOLVED"),"N/A",IF(OR(AND(F38&lt;&gt;"NO EVIDENCE",F38&lt;&gt;"NOT APPLICABLE",OR(AG38="",AH38="",AI38="",AJ38="",AG38="SYSTEM INFERENCE",AG38="ABSTRACT ONLY",AG38="SECONDARY REPORT",AG38="UNVERIFIED",AI38="Exact locator needed",AI38="HAU forum framing; exact target locator needed",AI38="Forum exchange; exact locator needed")),AND(G38&lt;&gt;"NO EVIDENCE",G38&lt;&gt;"NOT APPLICABLE",OR(AK38="",AL38="",AM38="",AN38="",AK38="SYSTEM INFERENCE",AK38="ABSTRACT ONLY",AK38="SECONDARY REPORT",AK38="UNVERIFIED",AM38="Exact locator needed",AM38="HAU forum framing; exact target locator needed",AM38="Forum exchange; exact locator needed"))),"EVIDENCE DEBT","READY")))</x:f>
        <x:v>N/A</x:v>
      </x:c>
      <x:c r="AT38" s="77" t="str"/>
    </x:row>
    <x:row r="39" ht="50" customHeight="1">
      <x:c r="A39" s="85" t="n">
        <x:v>34</x:v>
      </x:c>
      <x:c r="B39" s="73" t="str">
        <x:v>Active</x:v>
      </x:c>
      <x:c r="C39" s="89" t="n">
        <x:v>6</x:v>
      </x:c>
      <x:c r="D39" s="82" t="str">
        <x:f>IF(C39="","",IFERROR(VLOOKUP(C39,'Database controls'!$A$5:$B$20,2,FALSE),"NEW / UNCATEGORIZED"))</x:f>
        <x:v>Due process, punishment, and procedural limits</x:v>
      </x:c>
      <x:c r="E39" s="73" t="str">
        <x:v>PREMISES UNRESOLVED</x:v>
      </x:c>
      <x:c r="F39" s="73" t="str">
        <x:v>NO EVIDENCE</x:v>
      </x:c>
      <x:c r="G39" s="73" t="str">
        <x:v>NO EVIDENCE</x:v>
      </x:c>
      <x:c r="H39" s="82" t="str">
        <x:f>IF(A39="","",IF(OR(F39="REJECTS",G39="REJECTS"),"OUTSIDE / EXCOMMUNICABLE",IF(AND(OR(F39="RETAINS",F39="RETAINS WITH QUALIFICATION"),OR(G39="RETAINS",G39="RETAINS WITH QUALIFICATION")),"INTERNAL GORGONWARS",IF(AND(F39="NOT APPLICABLE",G39="NOT APPLICABLE"),"NOT APPLICABLE","PREMISES UNRESOLVED"))))</x:f>
        <x:v>PREMISES UNRESOLVED</x:v>
      </x:c>
      <x:c r="I39" s="82" t="str">
        <x:f>IF(A39="","",IF(E39=H39,"OK",IF(AO39&lt;&gt;"","OVERRIDDEN","REVIEW")))</x:f>
        <x:v>OK</x:v>
      </x:c>
      <x:c r="J39" s="73" t="str">
        <x:v>Anti-carceral feminist critique</x:v>
      </x:c>
      <x:c r="K39" s="73" t="str">
        <x:v>Direct #MeToo critique</x:v>
      </x:c>
      <x:c r="L39" s="73" t="str">
        <x:v>Law review article</x:v>
      </x:c>
      <x:c r="M39" s="73" t="str">
        <x:v>Law review / editorial review</x:v>
      </x:c>
      <x:c r="N39" s="89" t="n">
        <x:v>2020</x:v>
      </x:c>
      <x:c r="O39" s="73" t="str">
        <x:v>Aya Gruber</x:v>
      </x:c>
      <x:c r="P39" s="73" t="str">
        <x:v>#MeToo and Mass Incarceration</x:v>
      </x:c>
      <x:c r="Q39" s="73" t="str">
        <x:v>Ohio State Journal of Criminal Law 17</x:v>
      </x:c>
      <x:c r="R39" s="73" t="str">
        <x:v>English</x:v>
      </x:c>
      <x:c r="S39" s="73" t="str">
        <x:v>Feminist protection strategies have repeatedly expanded policing, prosecution, and prisons in racially and economically unequal ways, so gender justice must stop relying on violent penal institutions.</x:v>
      </x:c>
      <x:c r="T39" s="73" t="str">
        <x:v>Anti-carceral criticism is an internal strategic dispute and does not by itself reject either foundational premise.</x:v>
      </x:c>
      <x:c r="U39" s="73" t="str">
        <x:v>Source record verified</x:v>
      </x:c>
      <x:c r="V39" s="73" t="str">
        <x:v>www.scholar.law.colorado.edu/faculty-articles/1291/</x:v>
      </x:c>
      <x:c r="W39" s="73" t="str"/>
      <x:c r="X39" s="93" t="n">
        <x:v>46230</x:v>
      </x:c>
      <x:c r="Y39" s="93" t="n">
        <x:v>46230</x:v>
      </x:c>
      <x:c r="Z39" s="73" t="str"/>
      <x:c r="AA39" s="73" t="str"/>
      <x:c r="AB39" s="73" t="n">
        <x:v>34</x:v>
      </x:c>
      <x:c r="AC39" s="73" t="str">
        <x:v>ADJACENT CONTEXT</x:v>
      </x:c>
      <x:c r="AD39" s="73" t="str">
        <x:v>UNCLEAR</x:v>
      </x:c>
      <x:c r="AE39" s="73" t="str">
        <x:v>YES</x:v>
      </x:c>
      <x:c r="AF39" s="73" t="str">
        <x:v>Due process, publicity, punishment, proportionality, and carcerality</x:v>
      </x:c>
      <x:c r="AG39" s="73" t="str">
        <x:v>NO EVIDENCE</x:v>
      </x:c>
      <x:c r="AH39" s="73" t="str"/>
      <x:c r="AI39" s="73" t="str"/>
      <x:c r="AJ39" s="73" t="str"/>
      <x:c r="AK39" s="73" t="str">
        <x:v>NO EVIDENCE</x:v>
      </x:c>
      <x:c r="AL39" s="73" t="str"/>
      <x:c r="AM39" s="73" t="str"/>
      <x:c r="AN39" s="73" t="str"/>
      <x:c r="AO39" s="73" t="str"/>
      <x:c r="AP39" s="73" t="str">
        <x:v>Research team</x:v>
      </x:c>
      <x:c r="AQ39" s="73" t="str">
        <x:v>GORGONWARS-PREMISE-1.0</x:v>
      </x:c>
      <x:c r="AR39" s="73" t="str"/>
      <x:c r="AS39" s="82" t="str">
        <x:f>IF(A39="","",IF(OR(E39="NOT APPLICABLE",E39="PREMISES UNRESOLVED"),"N/A",IF(OR(AND(F39&lt;&gt;"NO EVIDENCE",F39&lt;&gt;"NOT APPLICABLE",OR(AG39="",AH39="",AI39="",AJ39="",AG39="SYSTEM INFERENCE",AG39="ABSTRACT ONLY",AG39="SECONDARY REPORT",AG39="UNVERIFIED",AI39="Exact locator needed",AI39="HAU forum framing; exact target locator needed",AI39="Forum exchange; exact locator needed")),AND(G39&lt;&gt;"NO EVIDENCE",G39&lt;&gt;"NOT APPLICABLE",OR(AK39="",AL39="",AM39="",AN39="",AK39="SYSTEM INFERENCE",AK39="ABSTRACT ONLY",AK39="SECONDARY REPORT",AK39="UNVERIFIED",AM39="Exact locator needed",AM39="HAU forum framing; exact target locator needed",AM39="Forum exchange; exact locator needed"))),"EVIDENCE DEBT","READY")))</x:f>
        <x:v>N/A</x:v>
      </x:c>
      <x:c r="AT39" s="74" t="str"/>
    </x:row>
    <x:row r="40" ht="50" customHeight="1">
      <x:c r="A40" s="86" t="n">
        <x:v>35</x:v>
      </x:c>
      <x:c r="B40" s="76" t="str">
        <x:v>Active</x:v>
      </x:c>
      <x:c r="C40" s="90" t="n">
        <x:v>6</x:v>
      </x:c>
      <x:c r="D40" s="82" t="str">
        <x:f>IF(C40="","",IFERROR(VLOOKUP(C40,'Database controls'!$A$5:$B$20,2,FALSE),"NEW / UNCATEGORIZED"))</x:f>
        <x:v>Due process, punishment, and procedural limits</x:v>
      </x:c>
      <x:c r="E40" s="76" t="str">
        <x:v>PREMISES UNRESOLVED</x:v>
      </x:c>
      <x:c r="F40" s="76" t="str">
        <x:v>NO EVIDENCE</x:v>
      </x:c>
      <x:c r="G40" s="76" t="str">
        <x:v>NO EVIDENCE</x:v>
      </x:c>
      <x:c r="H40" s="82" t="str">
        <x:f>IF(A40="","",IF(OR(F40="REJECTS",G40="REJECTS"),"OUTSIDE / EXCOMMUNICABLE",IF(AND(OR(F40="RETAINS",F40="RETAINS WITH QUALIFICATION"),OR(G40="RETAINS",G40="RETAINS WITH QUALIFICATION")),"INTERNAL GORGONWARS",IF(AND(F40="NOT APPLICABLE",G40="NOT APPLICABLE"),"NOT APPLICABLE","PREMISES UNRESOLVED"))))</x:f>
        <x:v>PREMISES UNRESOLVED</x:v>
      </x:c>
      <x:c r="I40" s="82" t="str">
        <x:f>IF(A40="","",IF(E40=H40,"OK",IF(AO40&lt;&gt;"","OVERRIDDEN","REVIEW")))</x:f>
        <x:v>OK</x:v>
      </x:c>
      <x:c r="J40" s="76" t="str">
        <x:v>Criminal-law critique of symbolic gender legislation</x:v>
      </x:c>
      <x:c r="K40" s="76" t="str">
        <x:v>Movement-adjacent</x:v>
      </x:c>
      <x:c r="L40" s="76" t="str">
        <x:v>Peer-reviewed journal article</x:v>
      </x:c>
      <x:c r="M40" s="76" t="str">
        <x:v>Peer-reviewed</x:v>
      </x:c>
      <x:c r="N40" s="90" t="n">
        <x:v>2023</x:v>
      </x:c>
      <x:c r="O40" s="76" t="str">
        <x:v>Alejandra Castillo-Ara</x:v>
      </x:c>
      <x:c r="P40" s="76" t="str">
        <x:v>La regulación penal con perspectiva de género y los principios generales del derecho penal: una revisión crítica</x:v>
      </x:c>
      <x:c r="Q40" s="76" t="str">
        <x:v>Revista de Derecho (Valdivia) 36(2):225–248</x:v>
      </x:c>
      <x:c r="R40" s="76" t="str">
        <x:v>Spanish</x:v>
      </x:c>
      <x:c r="S40" s="76" t="str">
        <x:v>Gender-sensitive criminal reform can advance women’s rights, but reactive symbolic legislation must remain constrained by legality, culpability, proportionality, presumption of innocence, and due process.</x:v>
      </x:c>
      <x:c r="T40" s="76" t="str">
        <x:v>Critiques criminal-law implementation while accepting gender-sensitive reform in principle.</x:v>
      </x:c>
      <x:c r="U40" s="76" t="str">
        <x:v>Source record verified</x:v>
      </x:c>
      <x:c r="V40" s="76" t="str">
        <x:v>www.scielo.cl/scielo.php?pid=S0718-09502023000200225&amp;script=sci_arttext</x:v>
      </x:c>
      <x:c r="W40" s="76" t="str"/>
      <x:c r="X40" s="94" t="n">
        <x:v>46230</x:v>
      </x:c>
      <x:c r="Y40" s="94" t="n">
        <x:v>46230</x:v>
      </x:c>
      <x:c r="Z40" s="76" t="str"/>
      <x:c r="AA40" s="76" t="str"/>
      <x:c r="AB40" s="76" t="n">
        <x:v>35</x:v>
      </x:c>
      <x:c r="AC40" s="76" t="str">
        <x:v>ADJACENT CONTEXT</x:v>
      </x:c>
      <x:c r="AD40" s="76" t="str">
        <x:v>UNCLEAR</x:v>
      </x:c>
      <x:c r="AE40" s="76" t="str">
        <x:v>ADJACENT</x:v>
      </x:c>
      <x:c r="AF40" s="76" t="str">
        <x:v>Due process, publicity, punishment, proportionality, and carcerality</x:v>
      </x:c>
      <x:c r="AG40" s="76" t="str">
        <x:v>NO EVIDENCE</x:v>
      </x:c>
      <x:c r="AH40" s="76" t="str"/>
      <x:c r="AI40" s="76" t="str"/>
      <x:c r="AJ40" s="76" t="str"/>
      <x:c r="AK40" s="76" t="str">
        <x:v>NO EVIDENCE</x:v>
      </x:c>
      <x:c r="AL40" s="76" t="str"/>
      <x:c r="AM40" s="76" t="str"/>
      <x:c r="AN40" s="76" t="str"/>
      <x:c r="AO40" s="76" t="str"/>
      <x:c r="AP40" s="76" t="str">
        <x:v>Research team</x:v>
      </x:c>
      <x:c r="AQ40" s="76" t="str">
        <x:v>GORGONWARS-PREMISE-1.0</x:v>
      </x:c>
      <x:c r="AR40" s="76" t="str"/>
      <x:c r="AS40" s="82" t="str">
        <x:f>IF(A40="","",IF(OR(E40="NOT APPLICABLE",E40="PREMISES UNRESOLVED"),"N/A",IF(OR(AND(F40&lt;&gt;"NO EVIDENCE",F40&lt;&gt;"NOT APPLICABLE",OR(AG40="",AH40="",AI40="",AJ40="",AG40="SYSTEM INFERENCE",AG40="ABSTRACT ONLY",AG40="SECONDARY REPORT",AG40="UNVERIFIED",AI40="Exact locator needed",AI40="HAU forum framing; exact target locator needed",AI40="Forum exchange; exact locator needed")),AND(G40&lt;&gt;"NO EVIDENCE",G40&lt;&gt;"NOT APPLICABLE",OR(AK40="",AL40="",AM40="",AN40="",AK40="SYSTEM INFERENCE",AK40="ABSTRACT ONLY",AK40="SECONDARY REPORT",AK40="UNVERIFIED",AM40="Exact locator needed",AM40="HAU forum framing; exact target locator needed",AM40="Forum exchange; exact locator needed"))),"EVIDENCE DEBT","READY")))</x:f>
        <x:v>N/A</x:v>
      </x:c>
      <x:c r="AT40" s="77" t="str"/>
    </x:row>
    <x:row r="41" ht="50" customHeight="1">
      <x:c r="A41" s="85" t="n">
        <x:v>36</x:v>
      </x:c>
      <x:c r="B41" s="73" t="str">
        <x:v>Needs full text</x:v>
      </x:c>
      <x:c r="C41" s="89" t="n">
        <x:v>6</x:v>
      </x:c>
      <x:c r="D41" s="82" t="str">
        <x:f>IF(C41="","",IFERROR(VLOOKUP(C41,'Database controls'!$A$5:$B$20,2,FALSE),"NEW / UNCATEGORIZED"))</x:f>
        <x:v>Due process, punishment, and procedural limits</x:v>
      </x:c>
      <x:c r="E41" s="73" t="str">
        <x:v>PREMISES UNRESOLVED</x:v>
      </x:c>
      <x:c r="F41" s="73" t="str">
        <x:v>NO EVIDENCE</x:v>
      </x:c>
      <x:c r="G41" s="73" t="str">
        <x:v>NO EVIDENCE</x:v>
      </x:c>
      <x:c r="H41" s="82" t="str">
        <x:f>IF(A41="","",IF(OR(F41="REJECTS",G41="REJECTS"),"OUTSIDE / EXCOMMUNICABLE",IF(AND(OR(F41="RETAINS",F41="RETAINS WITH QUALIFICATION"),OR(G41="RETAINS",G41="RETAINS WITH QUALIFICATION")),"INTERNAL GORGONWARS",IF(AND(F41="NOT APPLICABLE",G41="NOT APPLICABLE"),"NOT APPLICABLE","PREMISES UNRESOLVED"))))</x:f>
        <x:v>PREMISES UNRESOLVED</x:v>
      </x:c>
      <x:c r="I41" s="82" t="str">
        <x:f>IF(A41="","",IF(E41=H41,"OK",IF(AO41&lt;&gt;"","OVERRIDDEN","REVIEW")))</x:f>
        <x:v>OK</x:v>
      </x:c>
      <x:c r="J41" s="73" t="str">
        <x:v>Critique of impunity and unmediated accusation</x:v>
      </x:c>
      <x:c r="K41" s="73" t="str">
        <x:v>Direct #MeToo critique</x:v>
      </x:c>
      <x:c r="L41" s="73" t="str">
        <x:v>Peer-reviewed journal article</x:v>
      </x:c>
      <x:c r="M41" s="73" t="str">
        <x:v>Peer-reviewed</x:v>
      </x:c>
      <x:c r="N41" s="89" t="n">
        <x:v>2018</x:v>
      </x:c>
      <x:c r="O41" s="73" t="str">
        <x:v>Thomas Hylland Eriksen</x:v>
      </x:c>
      <x:c r="P41" s="73" t="str">
        <x:v>Without Impunity</x:v>
      </x:c>
      <x:c r="Q41" s="73" t="str">
        <x:v>HAU: Journal of Ethnographic Theory 8(3):431–434</x:v>
      </x:c>
      <x:c r="R41" s="73" t="str">
        <x:v>English</x:v>
      </x:c>
      <x:c r="S41" s="73" t="str">
        <x:v>Public allegations can expose impunity, but unmediated accusation can harden into mob judgment, false accusation, decontextualization, and ruthless simplification.</x:v>
      </x:c>
      <x:c r="T41" s="73" t="str">
        <x:v>Provisional: the target article was paywalled and the classification relies partly on the HAU forum framing.</x:v>
      </x:c>
      <x:c r="U41" s="73" t="str">
        <x:v>Partial / target-text gap</x:v>
      </x:c>
      <x:c r="V41" s="73" t="str">
        <x:v>www.journals.uchicago.edu/doi/full/10.1086/701008</x:v>
      </x:c>
      <x:c r="W41" s="73" t="str">
        <x:v>10.1086/701008</x:v>
      </x:c>
      <x:c r="X41" s="93" t="n">
        <x:v>46230</x:v>
      </x:c>
      <x:c r="Y41" s="93" t="n">
        <x:v>46230</x:v>
      </x:c>
      <x:c r="Z41" s="73" t="str"/>
      <x:c r="AA41" s="73" t="str"/>
      <x:c r="AB41" s="73" t="n">
        <x:v>36</x:v>
      </x:c>
      <x:c r="AC41" s="73" t="str">
        <x:v>ADJACENT CONTEXT</x:v>
      </x:c>
      <x:c r="AD41" s="73" t="str">
        <x:v>UNCLEAR</x:v>
      </x:c>
      <x:c r="AE41" s="73" t="str">
        <x:v>YES</x:v>
      </x:c>
      <x:c r="AF41" s="73" t="str">
        <x:v>Due process, publicity, punishment, proportionality, and carcerality</x:v>
      </x:c>
      <x:c r="AG41" s="73" t="str">
        <x:v>NO EVIDENCE</x:v>
      </x:c>
      <x:c r="AH41" s="73" t="str"/>
      <x:c r="AI41" s="73" t="str"/>
      <x:c r="AJ41" s="73" t="str"/>
      <x:c r="AK41" s="73" t="str">
        <x:v>NO EVIDENCE</x:v>
      </x:c>
      <x:c r="AL41" s="73" t="str"/>
      <x:c r="AM41" s="73" t="str"/>
      <x:c r="AN41" s="73" t="str"/>
      <x:c r="AO41" s="73" t="str"/>
      <x:c r="AP41" s="73" t="str">
        <x:v>Research team</x:v>
      </x:c>
      <x:c r="AQ41" s="73" t="str">
        <x:v>GORGONWARS-PREMISE-1.0</x:v>
      </x:c>
      <x:c r="AR41" s="73" t="str"/>
      <x:c r="AS41" s="82" t="str">
        <x:f>IF(A41="","",IF(OR(E41="NOT APPLICABLE",E41="PREMISES UNRESOLVED"),"N/A",IF(OR(AND(F41&lt;&gt;"NO EVIDENCE",F41&lt;&gt;"NOT APPLICABLE",OR(AG41="",AH41="",AI41="",AJ41="",AG41="SYSTEM INFERENCE",AG41="ABSTRACT ONLY",AG41="SECONDARY REPORT",AG41="UNVERIFIED",AI41="Exact locator needed",AI41="HAU forum framing; exact target locator needed",AI41="Forum exchange; exact locator needed")),AND(G41&lt;&gt;"NO EVIDENCE",G41&lt;&gt;"NOT APPLICABLE",OR(AK41="",AL41="",AM41="",AN41="",AK41="SYSTEM INFERENCE",AK41="ABSTRACT ONLY",AK41="SECONDARY REPORT",AK41="UNVERIFIED",AM41="Exact locator needed",AM41="HAU forum framing; exact target locator needed",AM41="Forum exchange; exact locator needed"))),"EVIDENCE DEBT","READY")))</x:f>
        <x:v>N/A</x:v>
      </x:c>
      <x:c r="AT41" s="74" t="str"/>
    </x:row>
    <x:row r="42" ht="50" customHeight="1">
      <x:c r="A42" s="86" t="n">
        <x:v>37</x:v>
      </x:c>
      <x:c r="B42" s="76" t="str">
        <x:v>Active</x:v>
      </x:c>
      <x:c r="C42" s="90" t="n">
        <x:v>7</x:v>
      </x:c>
      <x:c r="D42" s="82" t="str">
        <x:f>IF(C42="","",IFERROR(VLOOKUP(C42,'Database controls'!$A$5:$B$20,2,FALSE),"NEW / UNCATEGORIZED"))</x:f>
        <x:v>Workplace and institutional consequences</x:v>
      </x:c>
      <x:c r="E42" s="76" t="str">
        <x:v>PREMISES UNRESOLVED</x:v>
      </x:c>
      <x:c r="F42" s="76" t="str">
        <x:v>NO EVIDENCE</x:v>
      </x:c>
      <x:c r="G42" s="76" t="str">
        <x:v>NO EVIDENCE</x:v>
      </x:c>
      <x:c r="H42" s="82" t="str">
        <x:f>IF(A42="","",IF(OR(F42="REJECTS",G42="REJECTS"),"OUTSIDE / EXCOMMUNICABLE",IF(AND(OR(F42="RETAINS",F42="RETAINS WITH QUALIFICATION"),OR(G42="RETAINS",G42="RETAINS WITH QUALIFICATION")),"INTERNAL GORGONWARS",IF(AND(F42="NOT APPLICABLE",G42="NOT APPLICABLE"),"NOT APPLICABLE","PREMISES UNRESOLVED"))))</x:f>
        <x:v>PREMISES UNRESOLVED</x:v>
      </x:c>
      <x:c r="I42" s="82" t="str">
        <x:f>IF(A42="","",IF(E42=H42,"OK",IF(AO42&lt;&gt;"","OVERRIDDEN","REVIEW")))</x:f>
        <x:v>OK</x:v>
      </x:c>
      <x:c r="J42" s="76" t="str">
        <x:v>Empirical analysis of mentoring and socializing</x:v>
      </x:c>
      <x:c r="K42" s="76" t="str">
        <x:v>Empirical consequence study</x:v>
      </x:c>
      <x:c r="L42" s="76" t="str">
        <x:v>Peer-reviewed journal article</x:v>
      </x:c>
      <x:c r="M42" s="76" t="str">
        <x:v>Peer-reviewed</x:v>
      </x:c>
      <x:c r="N42" s="90" t="n">
        <x:v>2021</x:v>
      </x:c>
      <x:c r="O42" s="76" t="str">
        <x:v>Michael T. French, Karoline Mortensen, and Andrew R. Timming</x:v>
      </x:c>
      <x:c r="P42" s="76" t="str">
        <x:v>A multivariate analysis of workplace mentoring and socializing in the wake of #MeToo</x:v>
      </x:c>
      <x:c r="Q42" s="76" t="str">
        <x:v>Applied Economics 53(35):4040–4058</x:v>
      </x:c>
      <x:c r="R42" s="76" t="str">
        <x:v>English</x:v>
      </x:c>
      <x:c r="S42" s="76" t="str">
        <x:v>#MeToo addressed real abuse, but fear of accusations can make male managers withdraw one-to-one mentorship from women, unintentionally restricting women’s career access.</x:v>
      </x:c>
      <x:c r="T42" s="76" t="str">
        <x:v>An observational workplace study; it tests consequences rather than the two premises.</x:v>
      </x:c>
      <x:c r="U42" s="76" t="str">
        <x:v>Source record verified</x:v>
      </x:c>
      <x:c r="V42" s="76" t="str">
        <x:v>www.doi.org/10.1080/00036846.2021.1896673</x:v>
      </x:c>
      <x:c r="W42" s="76" t="str">
        <x:v>10.1080/00036846.2021.1896673</x:v>
      </x:c>
      <x:c r="X42" s="94" t="n">
        <x:v>46230</x:v>
      </x:c>
      <x:c r="Y42" s="94" t="n">
        <x:v>46230</x:v>
      </x:c>
      <x:c r="Z42" s="76" t="str"/>
      <x:c r="AA42" s="76" t="str"/>
      <x:c r="AB42" s="76" t="n">
        <x:v>37</x:v>
      </x:c>
      <x:c r="AC42" s="76" t="str">
        <x:v>ADJACENT CONTEXT</x:v>
      </x:c>
      <x:c r="AD42" s="76" t="str">
        <x:v>UNCLEAR</x:v>
      </x:c>
      <x:c r="AE42" s="76" t="str">
        <x:v>YES</x:v>
      </x:c>
      <x:c r="AF42" s="76" t="str">
        <x:v>Workplace, institutional, reputational, and media consequences</x:v>
      </x:c>
      <x:c r="AG42" s="76" t="str">
        <x:v>NO EVIDENCE</x:v>
      </x:c>
      <x:c r="AH42" s="76" t="str"/>
      <x:c r="AI42" s="76" t="str"/>
      <x:c r="AJ42" s="76" t="str"/>
      <x:c r="AK42" s="76" t="str">
        <x:v>NO EVIDENCE</x:v>
      </x:c>
      <x:c r="AL42" s="76" t="str"/>
      <x:c r="AM42" s="76" t="str"/>
      <x:c r="AN42" s="76" t="str"/>
      <x:c r="AO42" s="76" t="str"/>
      <x:c r="AP42" s="76" t="str">
        <x:v>Research team</x:v>
      </x:c>
      <x:c r="AQ42" s="76" t="str">
        <x:v>GORGONWARS-PREMISE-1.0</x:v>
      </x:c>
      <x:c r="AR42" s="76" t="str"/>
      <x:c r="AS42" s="82" t="str">
        <x:f>IF(A42="","",IF(OR(E42="NOT APPLICABLE",E42="PREMISES UNRESOLVED"),"N/A",IF(OR(AND(F42&lt;&gt;"NO EVIDENCE",F42&lt;&gt;"NOT APPLICABLE",OR(AG42="",AH42="",AI42="",AJ42="",AG42="SYSTEM INFERENCE",AG42="ABSTRACT ONLY",AG42="SECONDARY REPORT",AG42="UNVERIFIED",AI42="Exact locator needed",AI42="HAU forum framing; exact target locator needed",AI42="Forum exchange; exact locator needed")),AND(G42&lt;&gt;"NO EVIDENCE",G42&lt;&gt;"NOT APPLICABLE",OR(AK42="",AL42="",AM42="",AN42="",AK42="SYSTEM INFERENCE",AK42="ABSTRACT ONLY",AK42="SECONDARY REPORT",AK42="UNVERIFIED",AM42="Exact locator needed",AM42="HAU forum framing; exact target locator needed",AM42="Forum exchange; exact locator needed"))),"EVIDENCE DEBT","READY")))</x:f>
        <x:v>N/A</x:v>
      </x:c>
      <x:c r="AT42" s="77" t="str"/>
    </x:row>
    <x:row r="43" ht="50" customHeight="1">
      <x:c r="A43" s="85" t="n">
        <x:v>38</x:v>
      </x:c>
      <x:c r="B43" s="73" t="str">
        <x:v>Active</x:v>
      </x:c>
      <x:c r="C43" s="89" t="n">
        <x:v>7</x:v>
      </x:c>
      <x:c r="D43" s="82" t="str">
        <x:f>IF(C43="","",IFERROR(VLOOKUP(C43,'Database controls'!$A$5:$B$20,2,FALSE),"NEW / UNCATEGORIZED"))</x:f>
        <x:v>Workplace and institutional consequences</x:v>
      </x:c>
      <x:c r="E43" s="73" t="str">
        <x:v>PREMISES UNRESOLVED</x:v>
      </x:c>
      <x:c r="F43" s="73" t="str">
        <x:v>NO EVIDENCE</x:v>
      </x:c>
      <x:c r="G43" s="73" t="str">
        <x:v>NO EVIDENCE</x:v>
      </x:c>
      <x:c r="H43" s="82" t="str">
        <x:f>IF(A43="","",IF(OR(F43="REJECTS",G43="REJECTS"),"OUTSIDE / EXCOMMUNICABLE",IF(AND(OR(F43="RETAINS",F43="RETAINS WITH QUALIFICATION"),OR(G43="RETAINS",G43="RETAINS WITH QUALIFICATION")),"INTERNAL GORGONWARS",IF(AND(F43="NOT APPLICABLE",G43="NOT APPLICABLE"),"NOT APPLICABLE","PREMISES UNRESOLVED"))))</x:f>
        <x:v>PREMISES UNRESOLVED</x:v>
      </x:c>
      <x:c r="I43" s="82" t="str">
        <x:f>IF(A43="","",IF(E43=H43,"OK",IF(AO43&lt;&gt;"","OVERRIDDEN","REVIEW")))</x:f>
        <x:v>OK</x:v>
      </x:c>
      <x:c r="J43" s="73" t="str">
        <x:v>Economic model of reporting and institutional design</x:v>
      </x:c>
      <x:c r="K43" s="73" t="str">
        <x:v>Empirical consequence study</x:v>
      </x:c>
      <x:c r="L43" s="73" t="str">
        <x:v>Peer-reviewed journal article</x:v>
      </x:c>
      <x:c r="M43" s="73" t="str">
        <x:v>Peer-reviewed</x:v>
      </x:c>
      <x:c r="N43" s="89" t="n">
        <x:v>2022</x:v>
      </x:c>
      <x:c r="O43" s="73" t="str">
        <x:v>Ing-Haw Cheng and Alice Hsiaw</x:v>
      </x:c>
      <x:c r="P43" s="73" t="str">
        <x:v>Reporting Sexual Misconduct in the #MeToo Era</x:v>
      </x:c>
      <x:c r="Q43" s="73" t="str">
        <x:v>American Economic Journal: Microeconomics 14(4):761–803</x:v>
      </x:c>
      <x:c r="R43" s="73" t="str">
        <x:v>English</x:v>
      </x:c>
      <x:c r="S43" s="73" t="str">
        <x:v>Reporting is a coordination problem, so sanctions and confidential aggregation can expose serial misconduct, but badly designed rules can discourage both reports and mentoring.</x:v>
      </x:c>
      <x:c r="T43" s="73" t="str">
        <x:v>A formal institutional model rather than a direct empirical estimate or premise critique.</x:v>
      </x:c>
      <x:c r="U43" s="73" t="str">
        <x:v>Source record verified</x:v>
      </x:c>
      <x:c r="V43" s="73" t="str">
        <x:v>www.aeaweb.org/articles?id=10.1257/mic.20200218</x:v>
      </x:c>
      <x:c r="W43" s="73" t="str"/>
      <x:c r="X43" s="93" t="n">
        <x:v>46230</x:v>
      </x:c>
      <x:c r="Y43" s="93" t="n">
        <x:v>46230</x:v>
      </x:c>
      <x:c r="Z43" s="73" t="str"/>
      <x:c r="AA43" s="73" t="str"/>
      <x:c r="AB43" s="73" t="n">
        <x:v>38</x:v>
      </x:c>
      <x:c r="AC43" s="73" t="str">
        <x:v>ADJACENT CONTEXT</x:v>
      </x:c>
      <x:c r="AD43" s="73" t="str">
        <x:v>UNCLEAR</x:v>
      </x:c>
      <x:c r="AE43" s="73" t="str">
        <x:v>YES</x:v>
      </x:c>
      <x:c r="AF43" s="73" t="str">
        <x:v>Workplace, institutional, reputational, and media consequences</x:v>
      </x:c>
      <x:c r="AG43" s="73" t="str">
        <x:v>NO EVIDENCE</x:v>
      </x:c>
      <x:c r="AH43" s="73" t="str"/>
      <x:c r="AI43" s="73" t="str"/>
      <x:c r="AJ43" s="73" t="str"/>
      <x:c r="AK43" s="73" t="str">
        <x:v>NO EVIDENCE</x:v>
      </x:c>
      <x:c r="AL43" s="73" t="str"/>
      <x:c r="AM43" s="73" t="str"/>
      <x:c r="AN43" s="73" t="str"/>
      <x:c r="AO43" s="73" t="str"/>
      <x:c r="AP43" s="73" t="str">
        <x:v>Research team</x:v>
      </x:c>
      <x:c r="AQ43" s="73" t="str">
        <x:v>GORGONWARS-PREMISE-1.0</x:v>
      </x:c>
      <x:c r="AR43" s="73" t="str"/>
      <x:c r="AS43" s="82" t="str">
        <x:f>IF(A43="","",IF(OR(E43="NOT APPLICABLE",E43="PREMISES UNRESOLVED"),"N/A",IF(OR(AND(F43&lt;&gt;"NO EVIDENCE",F43&lt;&gt;"NOT APPLICABLE",OR(AG43="",AH43="",AI43="",AJ43="",AG43="SYSTEM INFERENCE",AG43="ABSTRACT ONLY",AG43="SECONDARY REPORT",AG43="UNVERIFIED",AI43="Exact locator needed",AI43="HAU forum framing; exact target locator needed",AI43="Forum exchange; exact locator needed")),AND(G43&lt;&gt;"NO EVIDENCE",G43&lt;&gt;"NOT APPLICABLE",OR(AK43="",AL43="",AM43="",AN43="",AK43="SYSTEM INFERENCE",AK43="ABSTRACT ONLY",AK43="SECONDARY REPORT",AK43="UNVERIFIED",AM43="Exact locator needed",AM43="HAU forum framing; exact target locator needed",AM43="Forum exchange; exact locator needed"))),"EVIDENCE DEBT","READY")))</x:f>
        <x:v>N/A</x:v>
      </x:c>
      <x:c r="AT43" s="74" t="str"/>
    </x:row>
    <x:row r="44" ht="50" customHeight="1">
      <x:c r="A44" s="86" t="n">
        <x:v>39</x:v>
      </x:c>
      <x:c r="B44" s="76" t="str">
        <x:v>Active</x:v>
      </x:c>
      <x:c r="C44" s="90" t="n">
        <x:v>7</x:v>
      </x:c>
      <x:c r="D44" s="82" t="str">
        <x:f>IF(C44="","",IFERROR(VLOOKUP(C44,'Database controls'!$A$5:$B$20,2,FALSE),"NEW / UNCATEGORIZED"))</x:f>
        <x:v>Workplace and institutional consequences</x:v>
      </x:c>
      <x:c r="E44" s="76" t="str">
        <x:v>PREMISES UNRESOLVED</x:v>
      </x:c>
      <x:c r="F44" s="76" t="str">
        <x:v>NO EVIDENCE</x:v>
      </x:c>
      <x:c r="G44" s="76" t="str">
        <x:v>NO EVIDENCE</x:v>
      </x:c>
      <x:c r="H44" s="82" t="str">
        <x:f>IF(A44="","",IF(OR(F44="REJECTS",G44="REJECTS"),"OUTSIDE / EXCOMMUNICABLE",IF(AND(OR(F44="RETAINS",F44="RETAINS WITH QUALIFICATION"),OR(G44="RETAINS",G44="RETAINS WITH QUALIFICATION")),"INTERNAL GORGONWARS",IF(AND(F44="NOT APPLICABLE",G44="NOT APPLICABLE"),"NOT APPLICABLE","PREMISES UNRESOLVED"))))</x:f>
        <x:v>PREMISES UNRESOLVED</x:v>
      </x:c>
      <x:c r="I44" s="82" t="str">
        <x:f>IF(A44="","",IF(E44=H44,"OK",IF(AO44&lt;&gt;"","OVERRIDDEN","REVIEW")))</x:f>
        <x:v>OK</x:v>
      </x:c>
      <x:c r="J44" s="76" t="str">
        <x:v>Empirical corporate-governance spillover analysis</x:v>
      </x:c>
      <x:c r="K44" s="76" t="str">
        <x:v>Empirical consequence study</x:v>
      </x:c>
      <x:c r="L44" s="76" t="str">
        <x:v>Peer-reviewed journal article</x:v>
      </x:c>
      <x:c r="M44" s="76" t="str">
        <x:v>Peer-reviewed</x:v>
      </x:c>
      <x:c r="N44" s="90" t="n">
        <x:v>2022</x:v>
      </x:c>
      <x:c r="O44" s="76" t="str">
        <x:v>Michael K. Bednar, James D. Westphal, and Michael L. McDonald</x:v>
      </x:c>
      <x:c r="P44" s="76" t="str">
        <x:v>Birds of a feather flock (even more) together</x:v>
      </x:c>
      <x:c r="Q44" s="76" t="str">
        <x:v>Strategic Management Journal 43(11):2313–2350</x:v>
      </x:c>
      <x:c r="R44" s="76" t="str">
        <x:v>English</x:v>
      </x:c>
      <x:c r="S44" s="76" t="str">
        <x:v>#MeToo’s necessary exposure of abuse can increase directors’ anxiety and make them favor familiar, demographically similar board candidates, unintentionally reinforcing elite homophily.</x:v>
      </x:c>
      <x:c r="T44" s="76" t="str">
        <x:v>A corporate-board spillover study, not a general verdict on #MeToo.</x:v>
      </x:c>
      <x:c r="U44" s="76" t="str">
        <x:v>Source record verified</x:v>
      </x:c>
      <x:c r="V44" s="76" t="str">
        <x:v>www.onlinelibrary.wiley.com/doi/10.1002/smj.3405</x:v>
      </x:c>
      <x:c r="W44" s="76" t="str"/>
      <x:c r="X44" s="94" t="n">
        <x:v>46230</x:v>
      </x:c>
      <x:c r="Y44" s="94" t="n">
        <x:v>46230</x:v>
      </x:c>
      <x:c r="Z44" s="76" t="str"/>
      <x:c r="AA44" s="76" t="str"/>
      <x:c r="AB44" s="76" t="n">
        <x:v>39</x:v>
      </x:c>
      <x:c r="AC44" s="76" t="str">
        <x:v>ADJACENT CONTEXT</x:v>
      </x:c>
      <x:c r="AD44" s="76" t="str">
        <x:v>UNCLEAR</x:v>
      </x:c>
      <x:c r="AE44" s="76" t="str">
        <x:v>YES</x:v>
      </x:c>
      <x:c r="AF44" s="76" t="str">
        <x:v>Workplace, institutional, reputational, and media consequences</x:v>
      </x:c>
      <x:c r="AG44" s="76" t="str">
        <x:v>NO EVIDENCE</x:v>
      </x:c>
      <x:c r="AH44" s="76" t="str"/>
      <x:c r="AI44" s="76" t="str"/>
      <x:c r="AJ44" s="76" t="str"/>
      <x:c r="AK44" s="76" t="str">
        <x:v>NO EVIDENCE</x:v>
      </x:c>
      <x:c r="AL44" s="76" t="str"/>
      <x:c r="AM44" s="76" t="str"/>
      <x:c r="AN44" s="76" t="str"/>
      <x:c r="AO44" s="76" t="str"/>
      <x:c r="AP44" s="76" t="str">
        <x:v>Research team</x:v>
      </x:c>
      <x:c r="AQ44" s="76" t="str">
        <x:v>GORGONWARS-PREMISE-1.0</x:v>
      </x:c>
      <x:c r="AR44" s="76" t="str"/>
      <x:c r="AS44" s="82" t="str">
        <x:f>IF(A44="","",IF(OR(E44="NOT APPLICABLE",E44="PREMISES UNRESOLVED"),"N/A",IF(OR(AND(F44&lt;&gt;"NO EVIDENCE",F44&lt;&gt;"NOT APPLICABLE",OR(AG44="",AH44="",AI44="",AJ44="",AG44="SYSTEM INFERENCE",AG44="ABSTRACT ONLY",AG44="SECONDARY REPORT",AG44="UNVERIFIED",AI44="Exact locator needed",AI44="HAU forum framing; exact target locator needed",AI44="Forum exchange; exact locator needed")),AND(G44&lt;&gt;"NO EVIDENCE",G44&lt;&gt;"NOT APPLICABLE",OR(AK44="",AL44="",AM44="",AN44="",AK44="SYSTEM INFERENCE",AK44="ABSTRACT ONLY",AK44="SECONDARY REPORT",AK44="UNVERIFIED",AM44="Exact locator needed",AM44="HAU forum framing; exact target locator needed",AM44="Forum exchange; exact locator needed"))),"EVIDENCE DEBT","READY")))</x:f>
        <x:v>N/A</x:v>
      </x:c>
      <x:c r="AT44" s="77" t="str"/>
    </x:row>
    <x:row r="45" ht="50" customHeight="1">
      <x:c r="A45" s="85" t="n">
        <x:v>40</x:v>
      </x:c>
      <x:c r="B45" s="73" t="str">
        <x:v>Active</x:v>
      </x:c>
      <x:c r="C45" s="89" t="n">
        <x:v>7</x:v>
      </x:c>
      <x:c r="D45" s="82" t="str">
        <x:f>IF(C45="","",IFERROR(VLOOKUP(C45,'Database controls'!$A$5:$B$20,2,FALSE),"NEW / UNCATEGORIZED"))</x:f>
        <x:v>Workplace and institutional consequences</x:v>
      </x:c>
      <x:c r="E45" s="73" t="str">
        <x:v>PREMISES UNRESOLVED</x:v>
      </x:c>
      <x:c r="F45" s="73" t="str">
        <x:v>NO EVIDENCE</x:v>
      </x:c>
      <x:c r="G45" s="73" t="str">
        <x:v>NO EVIDENCE</x:v>
      </x:c>
      <x:c r="H45" s="82" t="str">
        <x:f>IF(A45="","",IF(OR(F45="REJECTS",G45="REJECTS"),"OUTSIDE / EXCOMMUNICABLE",IF(AND(OR(F45="RETAINS",F45="RETAINS WITH QUALIFICATION"),OR(G45="RETAINS",G45="RETAINS WITH QUALIFICATION")),"INTERNAL GORGONWARS",IF(AND(F45="NOT APPLICABLE",G45="NOT APPLICABLE"),"NOT APPLICABLE","PREMISES UNRESOLVED"))))</x:f>
        <x:v>PREMISES UNRESOLVED</x:v>
      </x:c>
      <x:c r="I45" s="82" t="str">
        <x:f>IF(A45="","",IF(E45=H45,"OK",IF(AO45&lt;&gt;"","OVERRIDDEN","REVIEW")))</x:f>
        <x:v>OK</x:v>
      </x:c>
      <x:c r="J45" s="73" t="str">
        <x:v>Empirical test of cross-gender mentoring</x:v>
      </x:c>
      <x:c r="K45" s="73" t="str">
        <x:v>Empirical consequence study</x:v>
      </x:c>
      <x:c r="L45" s="73" t="str">
        <x:v>Peer-reviewed journal article</x:v>
      </x:c>
      <x:c r="M45" s="73" t="str">
        <x:v>Peer-reviewed</x:v>
      </x:c>
      <x:c r="N45" s="89" t="n">
        <x:v>2023</x:v>
      </x:c>
      <x:c r="O45" s="73" t="str">
        <x:v>Emily Etgen, Tom Downen, and Lorraine Lee</x:v>
      </x:c>
      <x:c r="P45" s="73" t="str">
        <x:v>Accounting Profession Mentoring in the #MeToo Era</x:v>
      </x:c>
      <x:c r="Q45" s="73" t="str">
        <x:v>Accounting Horizons 37(4):33–50</x:v>
      </x:c>
      <x:c r="R45" s="73" t="str">
        <x:v>English</x:v>
      </x:c>
      <x:c r="S45" s="73" t="str">
        <x:v>Accountants did not broadly refuse cross-gender mentoring, although male-mentor/female-mentee pairs avoided riskier settings, supporting structured mentoring rather than panic.</x:v>
      </x:c>
      <x:c r="T45" s="73" t="str">
        <x:v>Sector-specific counterevidence that qualifies rather than erases backlash-risk claims.</x:v>
      </x:c>
      <x:c r="U45" s="73" t="str">
        <x:v>Source record verified</x:v>
      </x:c>
      <x:c r="V45" s="73" t="str">
        <x:v>www.doi.org/10.2308/HORIZONS-2020-180</x:v>
      </x:c>
      <x:c r="W45" s="73" t="str">
        <x:v>10.2308/HORIZONS-2020-180</x:v>
      </x:c>
      <x:c r="X45" s="93" t="n">
        <x:v>46230</x:v>
      </x:c>
      <x:c r="Y45" s="93" t="n">
        <x:v>46230</x:v>
      </x:c>
      <x:c r="Z45" s="73" t="str"/>
      <x:c r="AA45" s="73" t="str"/>
      <x:c r="AB45" s="73" t="n">
        <x:v>40</x:v>
      </x:c>
      <x:c r="AC45" s="73" t="str">
        <x:v>COUNTEREVIDENCE</x:v>
      </x:c>
      <x:c r="AD45" s="73" t="str">
        <x:v>NEUTRAL EMPIRICAL</x:v>
      </x:c>
      <x:c r="AE45" s="73" t="str">
        <x:v>YES</x:v>
      </x:c>
      <x:c r="AF45" s="73" t="str">
        <x:v>Workplace, institutional, reputational, and media consequences</x:v>
      </x:c>
      <x:c r="AG45" s="73" t="str">
        <x:v>NO EVIDENCE</x:v>
      </x:c>
      <x:c r="AH45" s="73" t="str"/>
      <x:c r="AI45" s="73" t="str"/>
      <x:c r="AJ45" s="73" t="str"/>
      <x:c r="AK45" s="73" t="str">
        <x:v>NO EVIDENCE</x:v>
      </x:c>
      <x:c r="AL45" s="73" t="str"/>
      <x:c r="AM45" s="73" t="str"/>
      <x:c r="AN45" s="73" t="str"/>
      <x:c r="AO45" s="73" t="str"/>
      <x:c r="AP45" s="73" t="str">
        <x:v>Research team</x:v>
      </x:c>
      <x:c r="AQ45" s="73" t="str">
        <x:v>GORGONWARS-PREMISE-1.0</x:v>
      </x:c>
      <x:c r="AR45" s="73" t="str"/>
      <x:c r="AS45" s="82" t="str">
        <x:f>IF(A45="","",IF(OR(E45="NOT APPLICABLE",E45="PREMISES UNRESOLVED"),"N/A",IF(OR(AND(F45&lt;&gt;"NO EVIDENCE",F45&lt;&gt;"NOT APPLICABLE",OR(AG45="",AH45="",AI45="",AJ45="",AG45="SYSTEM INFERENCE",AG45="ABSTRACT ONLY",AG45="SECONDARY REPORT",AG45="UNVERIFIED",AI45="Exact locator needed",AI45="HAU forum framing; exact target locator needed",AI45="Forum exchange; exact locator needed")),AND(G45&lt;&gt;"NO EVIDENCE",G45&lt;&gt;"NOT APPLICABLE",OR(AK45="",AL45="",AM45="",AN45="",AK45="SYSTEM INFERENCE",AK45="ABSTRACT ONLY",AK45="SECONDARY REPORT",AK45="UNVERIFIED",AM45="Exact locator needed",AM45="HAU forum framing; exact target locator needed",AM45="Forum exchange; exact locator needed"))),"EVIDENCE DEBT","READY")))</x:f>
        <x:v>N/A</x:v>
      </x:c>
      <x:c r="AT45" s="74" t="str"/>
    </x:row>
    <x:row r="46" ht="50" customHeight="1">
      <x:c r="A46" s="86" t="n">
        <x:v>41</x:v>
      </x:c>
      <x:c r="B46" s="76" t="str">
        <x:v>Active</x:v>
      </x:c>
      <x:c r="C46" s="90" t="n">
        <x:v>7</x:v>
      </x:c>
      <x:c r="D46" s="82" t="str">
        <x:f>IF(C46="","",IFERROR(VLOOKUP(C46,'Database controls'!$A$5:$B$20,2,FALSE),"NEW / UNCATEGORIZED"))</x:f>
        <x:v>Workplace and institutional consequences</x:v>
      </x:c>
      <x:c r="E46" s="76" t="str">
        <x:v>PREMISES UNRESOLVED</x:v>
      </x:c>
      <x:c r="F46" s="76" t="str">
        <x:v>NO EVIDENCE</x:v>
      </x:c>
      <x:c r="G46" s="76" t="str">
        <x:v>NO EVIDENCE</x:v>
      </x:c>
      <x:c r="H46" s="82" t="str">
        <x:f>IF(A46="","",IF(OR(F46="REJECTS",G46="REJECTS"),"OUTSIDE / EXCOMMUNICABLE",IF(AND(OR(F46="RETAINS",F46="RETAINS WITH QUALIFICATION"),OR(G46="RETAINS",G46="RETAINS WITH QUALIFICATION")),"INTERNAL GORGONWARS",IF(AND(F46="NOT APPLICABLE",G46="NOT APPLICABLE"),"NOT APPLICABLE","PREMISES UNRESOLVED"))))</x:f>
        <x:v>PREMISES UNRESOLVED</x:v>
      </x:c>
      <x:c r="I46" s="82" t="str">
        <x:f>IF(A46="","",IF(E46=H46,"OK",IF(AO46&lt;&gt;"","OVERRIDDEN","REVIEW")))</x:f>
        <x:v>OK</x:v>
      </x:c>
      <x:c r="J46" s="76" t="str">
        <x:v>Experimental and perceptual study of women subordinates</x:v>
      </x:c>
      <x:c r="K46" s="76" t="str">
        <x:v>Empirical consequence study</x:v>
      </x:c>
      <x:c r="L46" s="76" t="str">
        <x:v>Peer-reviewed journal article</x:v>
      </x:c>
      <x:c r="M46" s="76" t="str">
        <x:v>Peer-reviewed</x:v>
      </x:c>
      <x:c r="N46" s="90" t="n">
        <x:v>2024</x:v>
      </x:c>
      <x:c r="O46" s="76" t="str">
        <x:v>Chloe Grace Hart and Heather McLaughlin</x:v>
      </x:c>
      <x:c r="P46" s="76" t="str">
        <x:v>Sexual Harassment and Hierarchical Workplace Relationships after #MeToo: Consequences for Women Subordinates</x:v>
      </x:c>
      <x:c r="Q46" s="76" t="str">
        <x:v>Socius 10</x:v>
      </x:c>
      <x:c r="R46" s="76" t="str">
        <x:v>English</x:v>
      </x:c>
      <x:c r="S46" s="76" t="str">
        <x:v>Women who report harassment can be viewed as both courageous truth-tellers and difficult attention-seekers, while measured hiring, promotion, and pay penalties were mostly small or absent.</x:v>
      </x:c>
      <x:c r="T46" s="76" t="str">
        <x:v>Findings are mixed and should not be compressed into either proof of backlash or proof of no backlash.</x:v>
      </x:c>
      <x:c r="U46" s="76" t="str">
        <x:v>Source record verified</x:v>
      </x:c>
      <x:c r="V46" s="76" t="str">
        <x:v>www.journals.sagepub.com/doi/10.1177/23780231241290545</x:v>
      </x:c>
      <x:c r="W46" s="76" t="str"/>
      <x:c r="X46" s="94" t="n">
        <x:v>46230</x:v>
      </x:c>
      <x:c r="Y46" s="94" t="n">
        <x:v>46230</x:v>
      </x:c>
      <x:c r="Z46" s="76" t="str"/>
      <x:c r="AA46" s="76" t="str"/>
      <x:c r="AB46" s="76" t="n">
        <x:v>41</x:v>
      </x:c>
      <x:c r="AC46" s="76" t="str">
        <x:v>COUNTEREVIDENCE</x:v>
      </x:c>
      <x:c r="AD46" s="76" t="str">
        <x:v>NEUTRAL EMPIRICAL</x:v>
      </x:c>
      <x:c r="AE46" s="76" t="str">
        <x:v>YES</x:v>
      </x:c>
      <x:c r="AF46" s="76" t="str">
        <x:v>Workplace, institutional, reputational, and media consequences</x:v>
      </x:c>
      <x:c r="AG46" s="76" t="str">
        <x:v>NO EVIDENCE</x:v>
      </x:c>
      <x:c r="AH46" s="76" t="str"/>
      <x:c r="AI46" s="76" t="str"/>
      <x:c r="AJ46" s="76" t="str"/>
      <x:c r="AK46" s="76" t="str">
        <x:v>NO EVIDENCE</x:v>
      </x:c>
      <x:c r="AL46" s="76" t="str"/>
      <x:c r="AM46" s="76" t="str"/>
      <x:c r="AN46" s="76" t="str"/>
      <x:c r="AO46" s="76" t="str"/>
      <x:c r="AP46" s="76" t="str">
        <x:v>Research team</x:v>
      </x:c>
      <x:c r="AQ46" s="76" t="str">
        <x:v>GORGONWARS-PREMISE-1.0</x:v>
      </x:c>
      <x:c r="AR46" s="76" t="str"/>
      <x:c r="AS46" s="82" t="str">
        <x:f>IF(A46="","",IF(OR(E46="NOT APPLICABLE",E46="PREMISES UNRESOLVED"),"N/A",IF(OR(AND(F46&lt;&gt;"NO EVIDENCE",F46&lt;&gt;"NOT APPLICABLE",OR(AG46="",AH46="",AI46="",AJ46="",AG46="SYSTEM INFERENCE",AG46="ABSTRACT ONLY",AG46="SECONDARY REPORT",AG46="UNVERIFIED",AI46="Exact locator needed",AI46="HAU forum framing; exact target locator needed",AI46="Forum exchange; exact locator needed")),AND(G46&lt;&gt;"NO EVIDENCE",G46&lt;&gt;"NOT APPLICABLE",OR(AK46="",AL46="",AM46="",AN46="",AK46="SYSTEM INFERENCE",AK46="ABSTRACT ONLY",AK46="SECONDARY REPORT",AK46="UNVERIFIED",AM46="Exact locator needed",AM46="HAU forum framing; exact target locator needed",AM46="Forum exchange; exact locator needed"))),"EVIDENCE DEBT","READY")))</x:f>
        <x:v>N/A</x:v>
      </x:c>
      <x:c r="AT46" s="77" t="str"/>
    </x:row>
    <x:row r="47" ht="50" customHeight="1">
      <x:c r="A47" s="85" t="n">
        <x:v>42</x:v>
      </x:c>
      <x:c r="B47" s="73" t="str">
        <x:v>Active</x:v>
      </x:c>
      <x:c r="C47" s="89" t="n">
        <x:v>7</x:v>
      </x:c>
      <x:c r="D47" s="82" t="str">
        <x:f>IF(C47="","",IFERROR(VLOOKUP(C47,'Database controls'!$A$5:$B$20,2,FALSE),"NEW / UNCATEGORIZED"))</x:f>
        <x:v>Workplace and institutional consequences</x:v>
      </x:c>
      <x:c r="E47" s="73" t="str">
        <x:v>PREMISES UNRESOLVED</x:v>
      </x:c>
      <x:c r="F47" s="73" t="str">
        <x:v>NO EVIDENCE</x:v>
      </x:c>
      <x:c r="G47" s="73" t="str">
        <x:v>NO EVIDENCE</x:v>
      </x:c>
      <x:c r="H47" s="82" t="str">
        <x:f>IF(A47="","",IF(OR(F47="REJECTS",G47="REJECTS"),"OUTSIDE / EXCOMMUNICABLE",IF(AND(OR(F47="RETAINS",F47="RETAINS WITH QUALIFICATION"),OR(G47="RETAINS",G47="RETAINS WITH QUALIFICATION")),"INTERNAL GORGONWARS",IF(AND(F47="NOT APPLICABLE",G47="NOT APPLICABLE"),"NOT APPLICABLE","PREMISES UNRESOLVED"))))</x:f>
        <x:v>PREMISES UNRESOLVED</x:v>
      </x:c>
      <x:c r="I47" s="82" t="str">
        <x:f>IF(A47="","",IF(E47=H47,"OK",IF(AO47&lt;&gt;"","OVERRIDDEN","REVIEW")))</x:f>
        <x:v>OK</x:v>
      </x:c>
      <x:c r="J47" s="73" t="str">
        <x:v>Market and firm-response counterevidence</x:v>
      </x:c>
      <x:c r="K47" s="73" t="str">
        <x:v>Empirical consequence study</x:v>
      </x:c>
      <x:c r="L47" s="73" t="str">
        <x:v>Peer-reviewed journal article</x:v>
      </x:c>
      <x:c r="M47" s="73" t="str">
        <x:v>Peer-reviewed</x:v>
      </x:c>
      <x:c r="N47" s="89" t="n">
        <x:v>2024</x:v>
      </x:c>
      <x:c r="O47" s="73" t="str">
        <x:v>Karl V. Lins, Lukas Roth, Henri Servaes, and Ane Tamayo</x:v>
      </x:c>
      <x:c r="P47" s="73" t="str">
        <x:v>Sexism, Culture, and Firm Value</x:v>
      </x:c>
      <x:c r="Q47" s="73" t="str">
        <x:v>Journal of Accounting Research 62:1989–2035</x:v>
      </x:c>
      <x:c r="R47" s="73" t="str">
        <x:v>English</x:v>
      </x:c>
      <x:c r="S47" s="73" t="str">
        <x:v>The Weinstein/#MeToo shock caused markets to reward firms with women in senior leadership and encouraged lagging firms to improve gender representation.</x:v>
      </x:c>
      <x:c r="T47" s="73" t="str">
        <x:v>Counterevidence on firm value and representation, not a comprehensive measure of workplace justice.</x:v>
      </x:c>
      <x:c r="U47" s="73" t="str">
        <x:v>Source record verified</x:v>
      </x:c>
      <x:c r="V47" s="73" t="str">
        <x:v>www.onlinelibrary.wiley.com/doi/10.1111/1475-679X.12573</x:v>
      </x:c>
      <x:c r="W47" s="73" t="str"/>
      <x:c r="X47" s="93" t="n">
        <x:v>46230</x:v>
      </x:c>
      <x:c r="Y47" s="93" t="n">
        <x:v>46230</x:v>
      </x:c>
      <x:c r="Z47" s="73" t="str"/>
      <x:c r="AA47" s="73" t="str"/>
      <x:c r="AB47" s="73" t="n">
        <x:v>42</x:v>
      </x:c>
      <x:c r="AC47" s="73" t="str">
        <x:v>COUNTEREVIDENCE</x:v>
      </x:c>
      <x:c r="AD47" s="73" t="str">
        <x:v>NEUTRAL EMPIRICAL</x:v>
      </x:c>
      <x:c r="AE47" s="73" t="str">
        <x:v>YES</x:v>
      </x:c>
      <x:c r="AF47" s="73" t="str">
        <x:v>Workplace, institutional, reputational, and media consequences</x:v>
      </x:c>
      <x:c r="AG47" s="73" t="str">
        <x:v>NO EVIDENCE</x:v>
      </x:c>
      <x:c r="AH47" s="73" t="str"/>
      <x:c r="AI47" s="73" t="str"/>
      <x:c r="AJ47" s="73" t="str"/>
      <x:c r="AK47" s="73" t="str">
        <x:v>NO EVIDENCE</x:v>
      </x:c>
      <x:c r="AL47" s="73" t="str"/>
      <x:c r="AM47" s="73" t="str"/>
      <x:c r="AN47" s="73" t="str"/>
      <x:c r="AO47" s="73" t="str"/>
      <x:c r="AP47" s="73" t="str">
        <x:v>Research team</x:v>
      </x:c>
      <x:c r="AQ47" s="73" t="str">
        <x:v>GORGONWARS-PREMISE-1.0</x:v>
      </x:c>
      <x:c r="AR47" s="73" t="str"/>
      <x:c r="AS47" s="82" t="str">
        <x:f>IF(A47="","",IF(OR(E47="NOT APPLICABLE",E47="PREMISES UNRESOLVED"),"N/A",IF(OR(AND(F47&lt;&gt;"NO EVIDENCE",F47&lt;&gt;"NOT APPLICABLE",OR(AG47="",AH47="",AI47="",AJ47="",AG47="SYSTEM INFERENCE",AG47="ABSTRACT ONLY",AG47="SECONDARY REPORT",AG47="UNVERIFIED",AI47="Exact locator needed",AI47="HAU forum framing; exact target locator needed",AI47="Forum exchange; exact locator needed")),AND(G47&lt;&gt;"NO EVIDENCE",G47&lt;&gt;"NOT APPLICABLE",OR(AK47="",AL47="",AM47="",AN47="",AK47="SYSTEM INFERENCE",AK47="ABSTRACT ONLY",AK47="SECONDARY REPORT",AK47="UNVERIFIED",AM47="Exact locator needed",AM47="HAU forum framing; exact target locator needed",AM47="Forum exchange; exact locator needed"))),"EVIDENCE DEBT","READY")))</x:f>
        <x:v>N/A</x:v>
      </x:c>
      <x:c r="AT47" s="74" t="str"/>
    </x:row>
    <x:row r="48" ht="50" customHeight="1">
      <x:c r="A48" s="86" t="n">
        <x:v>43</x:v>
      </x:c>
      <x:c r="B48" s="76" t="str">
        <x:v>Active</x:v>
      </x:c>
      <x:c r="C48" s="90" t="n">
        <x:v>7</x:v>
      </x:c>
      <x:c r="D48" s="82" t="str">
        <x:f>IF(C48="","",IFERROR(VLOOKUP(C48,'Database controls'!$A$5:$B$20,2,FALSE),"NEW / UNCATEGORIZED"))</x:f>
        <x:v>Workplace and institutional consequences</x:v>
      </x:c>
      <x:c r="E48" s="76" t="str">
        <x:v>PREMISES UNRESOLVED</x:v>
      </x:c>
      <x:c r="F48" s="76" t="str">
        <x:v>NO EVIDENCE</x:v>
      </x:c>
      <x:c r="G48" s="76" t="str">
        <x:v>NO EVIDENCE</x:v>
      </x:c>
      <x:c r="H48" s="82" t="str">
        <x:f>IF(A48="","",IF(OR(F48="REJECTS",G48="REJECTS"),"OUTSIDE / EXCOMMUNICABLE",IF(AND(OR(F48="RETAINS",F48="RETAINS WITH QUALIFICATION"),OR(G48="RETAINS",G48="RETAINS WITH QUALIFICATION")),"INTERNAL GORGONWARS",IF(AND(F48="NOT APPLICABLE",G48="NOT APPLICABLE"),"NOT APPLICABLE","PREMISES UNRESOLVED"))))</x:f>
        <x:v>PREMISES UNRESOLVED</x:v>
      </x:c>
      <x:c r="I48" s="82" t="str">
        <x:f>IF(A48="","",IF(E48=H48,"OK",IF(AO48&lt;&gt;"","OVERRIDDEN","REVIEW")))</x:f>
        <x:v>OK</x:v>
      </x:c>
      <x:c r="J48" s="76" t="str">
        <x:v>Worker-flow analysis of toxic employers</x:v>
      </x:c>
      <x:c r="K48" s="76" t="str">
        <x:v>Empirical consequence study</x:v>
      </x:c>
      <x:c r="L48" s="76" t="str">
        <x:v>Working paper / preprint</x:v>
      </x:c>
      <x:c r="M48" s="76" t="str">
        <x:v>Working paper / preprint</x:v>
      </x:c>
      <x:c r="N48" s="90" t="n">
        <x:v>2026</x:v>
      </x:c>
      <x:c r="O48" s="76" t="str">
        <x:v>Cyprien Batut, Caroline Coly, and Sarah Schneider-Strawczynski</x:v>
      </x:c>
      <x:c r="P48" s="76" t="str">
        <x:v>It’s a Man’s World: Culture of Abuse, #MeToo and Worker Flows</x:v>
      </x:c>
      <x:c r="Q48" s="76" t="str">
        <x:v>CESifo Working Paper 12551</x:v>
      </x:c>
      <x:c r="R48" s="76" t="str">
        <x:v>English</x:v>
      </x:c>
      <x:c r="S48" s="76" t="str">
        <x:v>#MeToo helped workers identify toxic employers and move toward safer workplaces, though quitting means immediate reform costs can still fall on workers.</x:v>
      </x:c>
      <x:c r="T48" s="76" t="str">
        <x:v>A working paper with mixed effects; later peer review or revisions may alter the estimates.</x:v>
      </x:c>
      <x:c r="U48" s="76" t="str">
        <x:v>Source record verified</x:v>
      </x:c>
      <x:c r="V48" s="76" t="str">
        <x:v>www.ifo.de/en/cesifo/publications/2026/working-paper/its-mans-world-culture-abuse-metoo-and-worker-flows</x:v>
      </x:c>
      <x:c r="W48" s="76" t="str"/>
      <x:c r="X48" s="94" t="n">
        <x:v>46230</x:v>
      </x:c>
      <x:c r="Y48" s="94" t="n">
        <x:v>46230</x:v>
      </x:c>
      <x:c r="Z48" s="76" t="str"/>
      <x:c r="AA48" s="76" t="str"/>
      <x:c r="AB48" s="76" t="n">
        <x:v>43</x:v>
      </x:c>
      <x:c r="AC48" s="76" t="str">
        <x:v>COUNTEREVIDENCE</x:v>
      </x:c>
      <x:c r="AD48" s="76" t="str">
        <x:v>NEUTRAL EMPIRICAL</x:v>
      </x:c>
      <x:c r="AE48" s="76" t="str">
        <x:v>YES</x:v>
      </x:c>
      <x:c r="AF48" s="76" t="str">
        <x:v>Workplace, institutional, reputational, and media consequences</x:v>
      </x:c>
      <x:c r="AG48" s="76" t="str">
        <x:v>NO EVIDENCE</x:v>
      </x:c>
      <x:c r="AH48" s="76" t="str"/>
      <x:c r="AI48" s="76" t="str"/>
      <x:c r="AJ48" s="76" t="str"/>
      <x:c r="AK48" s="76" t="str">
        <x:v>NO EVIDENCE</x:v>
      </x:c>
      <x:c r="AL48" s="76" t="str"/>
      <x:c r="AM48" s="76" t="str"/>
      <x:c r="AN48" s="76" t="str"/>
      <x:c r="AO48" s="76" t="str"/>
      <x:c r="AP48" s="76" t="str">
        <x:v>Research team</x:v>
      </x:c>
      <x:c r="AQ48" s="76" t="str">
        <x:v>GORGONWARS-PREMISE-1.0</x:v>
      </x:c>
      <x:c r="AR48" s="76" t="str"/>
      <x:c r="AS48" s="82" t="str">
        <x:f>IF(A48="","",IF(OR(E48="NOT APPLICABLE",E48="PREMISES UNRESOLVED"),"N/A",IF(OR(AND(F48&lt;&gt;"NO EVIDENCE",F48&lt;&gt;"NOT APPLICABLE",OR(AG48="",AH48="",AI48="",AJ48="",AG48="SYSTEM INFERENCE",AG48="ABSTRACT ONLY",AG48="SECONDARY REPORT",AG48="UNVERIFIED",AI48="Exact locator needed",AI48="HAU forum framing; exact target locator needed",AI48="Forum exchange; exact locator needed")),AND(G48&lt;&gt;"NO EVIDENCE",G48&lt;&gt;"NOT APPLICABLE",OR(AK48="",AL48="",AM48="",AN48="",AK48="SYSTEM INFERENCE",AK48="ABSTRACT ONLY",AK48="SECONDARY REPORT",AK48="UNVERIFIED",AM48="Exact locator needed",AM48="HAU forum framing; exact target locator needed",AM48="Forum exchange; exact locator needed"))),"EVIDENCE DEBT","READY")))</x:f>
        <x:v>N/A</x:v>
      </x:c>
      <x:c r="AT48" s="77" t="str"/>
    </x:row>
    <x:row r="49" ht="50" customHeight="1">
      <x:c r="A49" s="85" t="n">
        <x:v>44</x:v>
      </x:c>
      <x:c r="B49" s="73" t="str">
        <x:v>Active</x:v>
      </x:c>
      <x:c r="C49" s="89" t="n">
        <x:v>7</x:v>
      </x:c>
      <x:c r="D49" s="82" t="str">
        <x:f>IF(C49="","",IFERROR(VLOOKUP(C49,'Database controls'!$A$5:$B$20,2,FALSE),"NEW / UNCATEGORIZED"))</x:f>
        <x:v>Workplace and institutional consequences</x:v>
      </x:c>
      <x:c r="E49" s="73" t="str">
        <x:v>PREMISES UNRESOLVED</x:v>
      </x:c>
      <x:c r="F49" s="73" t="str">
        <x:v>NO EVIDENCE</x:v>
      </x:c>
      <x:c r="G49" s="73" t="str">
        <x:v>NO EVIDENCE</x:v>
      </x:c>
      <x:c r="H49" s="82" t="str">
        <x:f>IF(A49="","",IF(OR(F49="REJECTS",G49="REJECTS"),"OUTSIDE / EXCOMMUNICABLE",IF(AND(OR(F49="RETAINS",F49="RETAINS WITH QUALIFICATION"),OR(G49="RETAINS",G49="RETAINS WITH QUALIFICATION")),"INTERNAL GORGONWARS",IF(AND(F49="NOT APPLICABLE",G49="NOT APPLICABLE"),"NOT APPLICABLE","PREMISES UNRESOLVED"))))</x:f>
        <x:v>PREMISES UNRESOLVED</x:v>
      </x:c>
      <x:c r="I49" s="82" t="str">
        <x:f>IF(A49="","",IF(E49=H49,"OK",IF(AO49&lt;&gt;"","OVERRIDDEN","REVIEW")))</x:f>
        <x:v>OK</x:v>
      </x:c>
      <x:c r="J49" s="73" t="str">
        <x:v>Management synthesis and policy guidance</x:v>
      </x:c>
      <x:c r="K49" s="73" t="str">
        <x:v>Empirical consequence study</x:v>
      </x:c>
      <x:c r="L49" s="73" t="str">
        <x:v>Peer-reviewed journal article</x:v>
      </x:c>
      <x:c r="M49" s="73" t="str">
        <x:v>Peer-reviewed</x:v>
      </x:c>
      <x:c r="N49" s="89" t="n">
        <x:v>2019</x:v>
      </x:c>
      <x:c r="O49" s="73" t="str">
        <x:v>Leanne E. Atwater, Allison M. Tringale, Rachel E. Sturm, Scott N. Taylor, and Phillip W. Braddy</x:v>
      </x:c>
      <x:c r="P49" s="73" t="str">
        <x:v>Looking Ahead: How What We Know About Sexual Harassment Now Informs Us of the Future</x:v>
      </x:c>
      <x:c r="Q49" s="73" t="str">
        <x:v>Organizational Dynamics 48(4), article 100677</x:v>
      </x:c>
      <x:c r="R49" s="73" t="str">
        <x:v>English</x:v>
      </x:c>
      <x:c r="S49" s="73" t="str">
        <x:v>Employers should prevent harassment seriously while stopping fear-based hiring and mentoring avoidance from turning protection against abuse into another barrier for women.</x:v>
      </x:c>
      <x:c r="T49" s="73" t="str">
        <x:v>A managerial synthesis and recommendation piece, not a direct foundational critique.</x:v>
      </x:c>
      <x:c r="U49" s="73" t="str">
        <x:v>Source record verified</x:v>
      </x:c>
      <x:c r="V49" s="73" t="str">
        <x:v>www.doi.org/10.1016/j.orgdyn.2018.08.008</x:v>
      </x:c>
      <x:c r="W49" s="73" t="str">
        <x:v>10.1016/j.orgdyn.2018.08.008</x:v>
      </x:c>
      <x:c r="X49" s="93" t="n">
        <x:v>46230</x:v>
      </x:c>
      <x:c r="Y49" s="93" t="n">
        <x:v>46230</x:v>
      </x:c>
      <x:c r="Z49" s="73" t="str"/>
      <x:c r="AA49" s="73" t="str"/>
      <x:c r="AB49" s="73" t="n">
        <x:v>44</x:v>
      </x:c>
      <x:c r="AC49" s="73" t="str">
        <x:v>ADJACENT CONTEXT</x:v>
      </x:c>
      <x:c r="AD49" s="73" t="str">
        <x:v>UNCLEAR</x:v>
      </x:c>
      <x:c r="AE49" s="73" t="str">
        <x:v>YES</x:v>
      </x:c>
      <x:c r="AF49" s="73" t="str">
        <x:v>Workplace, institutional, reputational, and media consequences</x:v>
      </x:c>
      <x:c r="AG49" s="73" t="str">
        <x:v>NO EVIDENCE</x:v>
      </x:c>
      <x:c r="AH49" s="73" t="str"/>
      <x:c r="AI49" s="73" t="str"/>
      <x:c r="AJ49" s="73" t="str"/>
      <x:c r="AK49" s="73" t="str">
        <x:v>NO EVIDENCE</x:v>
      </x:c>
      <x:c r="AL49" s="73" t="str"/>
      <x:c r="AM49" s="73" t="str"/>
      <x:c r="AN49" s="73" t="str"/>
      <x:c r="AO49" s="73" t="str"/>
      <x:c r="AP49" s="73" t="str">
        <x:v>Research team</x:v>
      </x:c>
      <x:c r="AQ49" s="73" t="str">
        <x:v>GORGONWARS-PREMISE-1.0</x:v>
      </x:c>
      <x:c r="AR49" s="73" t="str"/>
      <x:c r="AS49" s="82" t="str">
        <x:f>IF(A49="","",IF(OR(E49="NOT APPLICABLE",E49="PREMISES UNRESOLVED"),"N/A",IF(OR(AND(F49&lt;&gt;"NO EVIDENCE",F49&lt;&gt;"NOT APPLICABLE",OR(AG49="",AH49="",AI49="",AJ49="",AG49="SYSTEM INFERENCE",AG49="ABSTRACT ONLY",AG49="SECONDARY REPORT",AG49="UNVERIFIED",AI49="Exact locator needed",AI49="HAU forum framing; exact target locator needed",AI49="Forum exchange; exact locator needed")),AND(G49&lt;&gt;"NO EVIDENCE",G49&lt;&gt;"NOT APPLICABLE",OR(AK49="",AL49="",AM49="",AN49="",AK49="SYSTEM INFERENCE",AK49="ABSTRACT ONLY",AK49="SECONDARY REPORT",AK49="UNVERIFIED",AM49="Exact locator needed",AM49="HAU forum framing; exact target locator needed",AM49="Forum exchange; exact locator needed"))),"EVIDENCE DEBT","READY")))</x:f>
        <x:v>N/A</x:v>
      </x:c>
      <x:c r="AT49" s="74" t="str"/>
    </x:row>
    <x:row r="50" ht="50" customHeight="1">
      <x:c r="A50" s="86" t="n">
        <x:v>45</x:v>
      </x:c>
      <x:c r="B50" s="76" t="str">
        <x:v>Active</x:v>
      </x:c>
      <x:c r="C50" s="90" t="n">
        <x:v>7</x:v>
      </x:c>
      <x:c r="D50" s="82" t="str">
        <x:f>IF(C50="","",IFERROR(VLOOKUP(C50,'Database controls'!$A$5:$B$20,2,FALSE),"NEW / UNCATEGORIZED"))</x:f>
        <x:v>Workplace and institutional consequences</x:v>
      </x:c>
      <x:c r="E50" s="76" t="str">
        <x:v>PREMISES UNRESOLVED</x:v>
      </x:c>
      <x:c r="F50" s="76" t="str">
        <x:v>NO EVIDENCE</x:v>
      </x:c>
      <x:c r="G50" s="76" t="str">
        <x:v>NO EVIDENCE</x:v>
      </x:c>
      <x:c r="H50" s="82" t="str">
        <x:f>IF(A50="","",IF(OR(F50="REJECTS",G50="REJECTS"),"OUTSIDE / EXCOMMUNICABLE",IF(AND(OR(F50="RETAINS",F50="RETAINS WITH QUALIFICATION"),OR(G50="RETAINS",G50="RETAINS WITH QUALIFICATION")),"INTERNAL GORGONWARS",IF(AND(F50="NOT APPLICABLE",G50="NOT APPLICABLE"),"NOT APPLICABLE","PREMISES UNRESOLVED"))))</x:f>
        <x:v>PREMISES UNRESOLVED</x:v>
      </x:c>
      <x:c r="I50" s="82" t="str">
        <x:f>IF(A50="","",IF(E50=H50,"OK",IF(AO50&lt;&gt;"","OVERRIDDEN","REVIEW")))</x:f>
        <x:v>OK</x:v>
      </x:c>
      <x:c r="J50" s="76" t="str">
        <x:v>Employer-focused consequence analysis</x:v>
      </x:c>
      <x:c r="K50" s="76" t="str">
        <x:v>Empirical consequence study</x:v>
      </x:c>
      <x:c r="L50" s="76" t="str">
        <x:v>Peer-reviewed journal article</x:v>
      </x:c>
      <x:c r="M50" s="76" t="str">
        <x:v>Peer-reviewed</x:v>
      </x:c>
      <x:c r="N50" s="90" t="n">
        <x:v>2019</x:v>
      </x:c>
      <x:c r="O50" s="76" t="str">
        <x:v>Michael T. Zugelder</x:v>
      </x:c>
      <x:c r="P50" s="76" t="str">
        <x:v>The Consequences of #MeToo: Intended and Not. What Employers Should Do</x:v>
      </x:c>
      <x:c r="Q50" s="76" t="str">
        <x:v>Journal of Leadership, Accountability and Ethics 16(3):109–118</x:v>
      </x:c>
      <x:c r="R50" s="76" t="str">
        <x:v>English</x:v>
      </x:c>
      <x:c r="S50" s="76" t="str">
        <x:v>Employers should preserve #MeToo’s gains against abuse while preventing skepticism and mentoring avoidance from creating a new career penalty for women.</x:v>
      </x:c>
      <x:c r="T50" s="76" t="str">
        <x:v>A practitioner-oriented article rather than a causal study of every claimed consequence.</x:v>
      </x:c>
      <x:c r="U50" s="76" t="str">
        <x:v>Source record verified</x:v>
      </x:c>
      <x:c r="V50" s="76" t="str">
        <x:v>www.articlegateway.com/index.php/JLAE/article/view/2159</x:v>
      </x:c>
      <x:c r="W50" s="76" t="str"/>
      <x:c r="X50" s="94" t="n">
        <x:v>46230</x:v>
      </x:c>
      <x:c r="Y50" s="94" t="n">
        <x:v>46230</x:v>
      </x:c>
      <x:c r="Z50" s="76" t="str"/>
      <x:c r="AA50" s="76" t="str"/>
      <x:c r="AB50" s="76" t="n">
        <x:v>45</x:v>
      </x:c>
      <x:c r="AC50" s="76" t="str">
        <x:v>ADJACENT CONTEXT</x:v>
      </x:c>
      <x:c r="AD50" s="76" t="str">
        <x:v>UNCLEAR</x:v>
      </x:c>
      <x:c r="AE50" s="76" t="str">
        <x:v>YES</x:v>
      </x:c>
      <x:c r="AF50" s="76" t="str">
        <x:v>Workplace, institutional, reputational, and media consequences</x:v>
      </x:c>
      <x:c r="AG50" s="76" t="str">
        <x:v>NO EVIDENCE</x:v>
      </x:c>
      <x:c r="AH50" s="76" t="str"/>
      <x:c r="AI50" s="76" t="str"/>
      <x:c r="AJ50" s="76" t="str"/>
      <x:c r="AK50" s="76" t="str">
        <x:v>NO EVIDENCE</x:v>
      </x:c>
      <x:c r="AL50" s="76" t="str"/>
      <x:c r="AM50" s="76" t="str"/>
      <x:c r="AN50" s="76" t="str"/>
      <x:c r="AO50" s="76" t="str"/>
      <x:c r="AP50" s="76" t="str">
        <x:v>Research team</x:v>
      </x:c>
      <x:c r="AQ50" s="76" t="str">
        <x:v>GORGONWARS-PREMISE-1.0</x:v>
      </x:c>
      <x:c r="AR50" s="76" t="str"/>
      <x:c r="AS50" s="82" t="str">
        <x:f>IF(A50="","",IF(OR(E50="NOT APPLICABLE",E50="PREMISES UNRESOLVED"),"N/A",IF(OR(AND(F50&lt;&gt;"NO EVIDENCE",F50&lt;&gt;"NOT APPLICABLE",OR(AG50="",AH50="",AI50="",AJ50="",AG50="SYSTEM INFERENCE",AG50="ABSTRACT ONLY",AG50="SECONDARY REPORT",AG50="UNVERIFIED",AI50="Exact locator needed",AI50="HAU forum framing; exact target locator needed",AI50="Forum exchange; exact locator needed")),AND(G50&lt;&gt;"NO EVIDENCE",G50&lt;&gt;"NOT APPLICABLE",OR(AK50="",AL50="",AM50="",AN50="",AK50="SYSTEM INFERENCE",AK50="ABSTRACT ONLY",AK50="SECONDARY REPORT",AK50="UNVERIFIED",AM50="Exact locator needed",AM50="HAU forum framing; exact target locator needed",AM50="Forum exchange; exact locator needed"))),"EVIDENCE DEBT","READY")))</x:f>
        <x:v>N/A</x:v>
      </x:c>
      <x:c r="AT50" s="77" t="str"/>
    </x:row>
    <x:row r="51" ht="50" customHeight="1">
      <x:c r="A51" s="85" t="n">
        <x:v>46</x:v>
      </x:c>
      <x:c r="B51" s="73" t="str">
        <x:v>Active</x:v>
      </x:c>
      <x:c r="C51" s="89" t="n">
        <x:v>7</x:v>
      </x:c>
      <x:c r="D51" s="82" t="str">
        <x:f>IF(C51="","",IFERROR(VLOOKUP(C51,'Database controls'!$A$5:$B$20,2,FALSE),"NEW / UNCATEGORIZED"))</x:f>
        <x:v>Workplace and institutional consequences</x:v>
      </x:c>
      <x:c r="E51" s="73" t="str">
        <x:v>PREMISES UNRESOLVED</x:v>
      </x:c>
      <x:c r="F51" s="73" t="str">
        <x:v>NO EVIDENCE</x:v>
      </x:c>
      <x:c r="G51" s="73" t="str">
        <x:v>NO EVIDENCE</x:v>
      </x:c>
      <x:c r="H51" s="82" t="str">
        <x:f>IF(A51="","",IF(OR(F51="REJECTS",G51="REJECTS"),"OUTSIDE / EXCOMMUNICABLE",IF(AND(OR(F51="RETAINS",F51="RETAINS WITH QUALIFICATION"),OR(G51="RETAINS",G51="RETAINS WITH QUALIFICATION")),"INTERNAL GORGONWARS",IF(AND(F51="NOT APPLICABLE",G51="NOT APPLICABLE"),"NOT APPLICABLE","PREMISES UNRESOLVED"))))</x:f>
        <x:v>PREMISES UNRESOLVED</x:v>
      </x:c>
      <x:c r="I51" s="82" t="str">
        <x:f>IF(A51="","",IF(E51=H51,"OK",IF(AO51&lt;&gt;"","OVERRIDDEN","REVIEW")))</x:f>
        <x:v>OK</x:v>
      </x:c>
      <x:c r="J51" s="73" t="str">
        <x:v>Computational media analysis of agency portrayals</x:v>
      </x:c>
      <x:c r="K51" s="73" t="str">
        <x:v>Empirical consequence study</x:v>
      </x:c>
      <x:c r="L51" s="73" t="str">
        <x:v>Conference paper</x:v>
      </x:c>
      <x:c r="M51" s="73" t="str">
        <x:v>Conference review</x:v>
      </x:c>
      <x:c r="N51" s="89" t="n">
        <x:v>2019</x:v>
      </x:c>
      <x:c r="O51" s="73" t="str">
        <x:v>Anjalie Field, Gayatri Bhat, and Yulia Tsvetkov</x:v>
      </x:c>
      <x:c r="P51" s="73" t="str">
        <x:v>Contextual Affective Analysis: A Case Study of People Portrayals in Online #MeToo Stories</x:v>
      </x:c>
      <x:c r="Q51" s="73" t="str">
        <x:v>Proceedings of ICWSM 13(1):158–169</x:v>
      </x:c>
      <x:c r="R51" s="73" t="str">
        <x:v>English</x:v>
      </x:c>
      <x:c r="S51" s="73" t="str">
        <x:v>Even sympathetic #MeToo stories can portray men as decisive actors and women mainly as people acted upon, reproducing the agency imbalance they seek to challenge.</x:v>
      </x:c>
      <x:c r="T51" s="73" t="str">
        <x:v>A media-portrayal finding; the arXiv version is the same paper and is not a second source.</x:v>
      </x:c>
      <x:c r="U51" s="73" t="str">
        <x:v>Source record verified</x:v>
      </x:c>
      <x:c r="V51" s="73" t="str">
        <x:v>www.ojs.aaai.org/index.php/ICWSM/article/view/3358</x:v>
      </x:c>
      <x:c r="W51" s="73" t="str"/>
      <x:c r="X51" s="93" t="n">
        <x:v>46230</x:v>
      </x:c>
      <x:c r="Y51" s="93" t="n">
        <x:v>46230</x:v>
      </x:c>
      <x:c r="Z51" s="73" t="str"/>
      <x:c r="AA51" s="73" t="str">
        <x:v>arXiv:1904.04164 is the same paper</x:v>
      </x:c>
      <x:c r="AB51" s="73" t="n">
        <x:v>46</x:v>
      </x:c>
      <x:c r="AC51" s="73" t="str">
        <x:v>ADJACENT CONTEXT</x:v>
      </x:c>
      <x:c r="AD51" s="73" t="str">
        <x:v>UNCLEAR</x:v>
      </x:c>
      <x:c r="AE51" s="73" t="str">
        <x:v>YES</x:v>
      </x:c>
      <x:c r="AF51" s="73" t="str">
        <x:v>Workplace, institutional, reputational, and media consequences</x:v>
      </x:c>
      <x:c r="AG51" s="73" t="str">
        <x:v>NO EVIDENCE</x:v>
      </x:c>
      <x:c r="AH51" s="73" t="str"/>
      <x:c r="AI51" s="73" t="str"/>
      <x:c r="AJ51" s="73" t="str"/>
      <x:c r="AK51" s="73" t="str">
        <x:v>NO EVIDENCE</x:v>
      </x:c>
      <x:c r="AL51" s="73" t="str"/>
      <x:c r="AM51" s="73" t="str"/>
      <x:c r="AN51" s="73" t="str"/>
      <x:c r="AO51" s="73" t="str"/>
      <x:c r="AP51" s="73" t="str">
        <x:v>Research team</x:v>
      </x:c>
      <x:c r="AQ51" s="73" t="str">
        <x:v>GORGONWARS-PREMISE-1.0</x:v>
      </x:c>
      <x:c r="AR51" s="73" t="str"/>
      <x:c r="AS51" s="82" t="str">
        <x:f>IF(A51="","",IF(OR(E51="NOT APPLICABLE",E51="PREMISES UNRESOLVED"),"N/A",IF(OR(AND(F51&lt;&gt;"NO EVIDENCE",F51&lt;&gt;"NOT APPLICABLE",OR(AG51="",AH51="",AI51="",AJ51="",AG51="SYSTEM INFERENCE",AG51="ABSTRACT ONLY",AG51="SECONDARY REPORT",AG51="UNVERIFIED",AI51="Exact locator needed",AI51="HAU forum framing; exact target locator needed",AI51="Forum exchange; exact locator needed")),AND(G51&lt;&gt;"NO EVIDENCE",G51&lt;&gt;"NOT APPLICABLE",OR(AK51="",AL51="",AM51="",AN51="",AK51="SYSTEM INFERENCE",AK51="ABSTRACT ONLY",AK51="SECONDARY REPORT",AK51="UNVERIFIED",AM51="Exact locator needed",AM51="HAU forum framing; exact target locator needed",AM51="Forum exchange; exact locator needed"))),"EVIDENCE DEBT","READY")))</x:f>
        <x:v>N/A</x:v>
      </x:c>
      <x:c r="AT51" s="74" t="str"/>
    </x:row>
    <x:row r="52" ht="50" customHeight="1">
      <x:c r="A52" s="86" t="n">
        <x:v>47</x:v>
      </x:c>
      <x:c r="B52" s="76" t="str">
        <x:v>Active</x:v>
      </x:c>
      <x:c r="C52" s="90" t="n">
        <x:v>8</x:v>
      </x:c>
      <x:c r="D52" s="82" t="str">
        <x:f>IF(C52="","",IFERROR(VLOOKUP(C52,'Database controls'!$A$5:$B$20,2,FALSE),"NEW / UNCATEGORIZED"))</x:f>
        <x:v>Nonacademic outside and reception evidence</x:v>
      </x:c>
      <x:c r="E52" s="76" t="str">
        <x:v>OUTSIDE / EXCOMMUNICABLE</x:v>
      </x:c>
      <x:c r="F52" s="76" t="str">
        <x:v>REJECTS</x:v>
      </x:c>
      <x:c r="G52" s="76" t="str">
        <x:v>NO EVIDENCE</x:v>
      </x:c>
      <x:c r="H52" s="82" t="str">
        <x:f>IF(A52="","",IF(OR(F52="REJECTS",G52="REJECTS"),"OUTSIDE / EXCOMMUNICABLE",IF(AND(OR(F52="RETAINS",F52="RETAINS WITH QUALIFICATION"),OR(G52="RETAINS",G52="RETAINS WITH QUALIFICATION")),"INTERNAL GORGONWARS",IF(AND(F52="NOT APPLICABLE",G52="NOT APPLICABLE"),"NOT APPLICABLE","PREMISES UNRESOLVED"))))</x:f>
        <x:v>OUTSIDE / EXCOMMUNICABLE</x:v>
      </x:c>
      <x:c r="I52" s="82" t="str">
        <x:f>IF(A52="","",IF(E52=H52,"OK",IF(AO52&lt;&gt;"","OVERRIDDEN","REVIEW")))</x:f>
        <x:v>OK</x:v>
      </x:c>
      <x:c r="J52" s="76" t="str">
        <x:v>Collective outside manifesto</x:v>
      </x:c>
      <x:c r="K52" s="76" t="str">
        <x:v>Public intervention</x:v>
      </x:c>
      <x:c r="L52" s="76" t="str">
        <x:v>Newspaper / opinion</x:v>
      </x:c>
      <x:c r="M52" s="76" t="str">
        <x:v>Nonacademic</x:v>
      </x:c>
      <x:c r="N52" s="90" t="n">
        <x:v>2018</x:v>
      </x:c>
      <x:c r="O52" s="76" t="str">
        <x:v>One hundred French women, including Catherine Deneuve</x:v>
      </x:c>
      <x:c r="P52" s="76" t="str">
        <x:v>Nous défendons une liberté d’importuner, indispensable à la liberté sexuelle</x:v>
      </x:c>
      <x:c r="Q52" s="76" t="str">
        <x:v>Le Monde</x:v>
      </x:c>
      <x:c r="R52" s="76" t="str">
        <x:v>French</x:v>
      </x:c>
      <x:c r="S52" s="76" t="str">
        <x:v>Rape and coercion deserve punishment, but collapsing them with awkward courtship, erotic risk, and private ambiguity turns liberation into puritanical public justice and women into permanent victims.</x:v>
      </x:c>
      <x:c r="T52" s="76" t="str">
        <x:v>A public manifesto rather than an academic article; its signatories do not necessarily share every implication.</x:v>
      </x:c>
      <x:c r="U52" s="76" t="str">
        <x:v>Source record verified</x:v>
      </x:c>
      <x:c r="V52" s="76" t="str">
        <x:v>www.lemonde.fr/idees/article/2018/01/09/nous-defendons-une-liberte-d-importuner-indispensable-a-la-liberte-sexuelle_5239134_3232.html</x:v>
      </x:c>
      <x:c r="W52" s="76" t="str"/>
      <x:c r="X52" s="94" t="n">
        <x:v>46230</x:v>
      </x:c>
      <x:c r="Y52" s="94" t="n">
        <x:v>46230</x:v>
      </x:c>
      <x:c r="Z52" s="76" t="str"/>
      <x:c r="AA52" s="76" t="str"/>
      <x:c r="AB52" s="76" t="n">
        <x:v>47</x:v>
      </x:c>
      <x:c r="AC52" s="76" t="str">
        <x:v>DIRECT OUTSIDE CRITIQUE</x:v>
      </x:c>
      <x:c r="AD52" s="76" t="str">
        <x:v>EXPLICIT CRITIQUE</x:v>
      </x:c>
      <x:c r="AE52" s="76" t="str">
        <x:v>YES</x:v>
      </x:c>
      <x:c r="AF52" s="76" t="str">
        <x:v>Public dissent, rebuttal, clarification, and boundary policing</x:v>
      </x:c>
      <x:c r="AG52" s="76" t="str">
        <x:v>DIRECT ENTAILMENT</x:v>
      </x:c>
      <x:c r="AH52" s="76" t="str">
        <x:v>Paraphrase: Preserves intimate or private life from generalized political adjudication.</x:v>
      </x:c>
      <x:c r="AI52" s="76" t="str">
        <x:v>Exact locator needed</x:v>
      </x:c>
      <x:c r="AJ52" s="76" t="str">
        <x:v>www.lemonde.fr/idees/article/2018/01/09/nous-defendons-une-liberte-d-importuner-indispensable-a-la-liberte-sexuelle_5239134_3232.html</x:v>
      </x:c>
      <x:c r="AK52" s="76" t="str">
        <x:v>NO EVIDENCE</x:v>
      </x:c>
      <x:c r="AL52" s="76" t="str"/>
      <x:c r="AM52" s="76" t="str"/>
      <x:c r="AN52" s="76" t="str"/>
      <x:c r="AO52" s="76" t="str"/>
      <x:c r="AP52" s="76" t="str">
        <x:v>Research team</x:v>
      </x:c>
      <x:c r="AQ52" s="76" t="str">
        <x:v>GORGONWARS-PREMISE-1.0</x:v>
      </x:c>
      <x:c r="AR52" s="76" t="str"/>
      <x:c r="AS52" s="82" t="str">
        <x:f>IF(A52="","",IF(OR(E52="NOT APPLICABLE",E52="PREMISES UNRESOLVED"),"N/A",IF(OR(AND(F52&lt;&gt;"NO EVIDENCE",F52&lt;&gt;"NOT APPLICABLE",OR(AG52="",AH52="",AI52="",AJ52="",AG52="SYSTEM INFERENCE",AG52="ABSTRACT ONLY",AG52="SECONDARY REPORT",AG52="UNVERIFIED",AI52="Exact locator needed",AI52="HAU forum framing; exact target locator needed",AI52="Forum exchange; exact locator needed")),AND(G52&lt;&gt;"NO EVIDENCE",G52&lt;&gt;"NOT APPLICABLE",OR(AK52="",AL52="",AM52="",AN52="",AK52="SYSTEM INFERENCE",AK52="ABSTRACT ONLY",AK52="SECONDARY REPORT",AK52="UNVERIFIED",AM52="Exact locator needed",AM52="HAU forum framing; exact target locator needed",AM52="Forum exchange; exact locator needed"))),"EVIDENCE DEBT","READY")))</x:f>
        <x:v>EVIDENCE DEBT</x:v>
      </x:c>
      <x:c r="AT52" s="77" t="str"/>
    </x:row>
    <x:row r="53" ht="50" customHeight="1">
      <x:c r="A53" s="85" t="n">
        <x:v>48</x:v>
      </x:c>
      <x:c r="B53" s="73" t="str">
        <x:v>Active</x:v>
      </x:c>
      <x:c r="C53" s="89" t="n">
        <x:v>8</x:v>
      </x:c>
      <x:c r="D53" s="82" t="str">
        <x:f>IF(C53="","",IFERROR(VLOOKUP(C53,'Database controls'!$A$5:$B$20,2,FALSE),"NEW / UNCATEGORIZED"))</x:f>
        <x:v>Nonacademic outside and reception evidence</x:v>
      </x:c>
      <x:c r="E53" s="73" t="str">
        <x:v>OUTSIDE / EXCOMMUNICABLE</x:v>
      </x:c>
      <x:c r="F53" s="73" t="str">
        <x:v>REJECTS</x:v>
      </x:c>
      <x:c r="G53" s="73" t="str">
        <x:v>REJECTS</x:v>
      </x:c>
      <x:c r="H53" s="82" t="str">
        <x:f>IF(A53="","",IF(OR(F53="REJECTS",G53="REJECTS"),"OUTSIDE / EXCOMMUNICABLE",IF(AND(OR(F53="RETAINS",F53="RETAINS WITH QUALIFICATION"),OR(G53="RETAINS",G53="RETAINS WITH QUALIFICATION")),"INTERNAL GORGONWARS",IF(AND(F53="NOT APPLICABLE",G53="NOT APPLICABLE"),"NOT APPLICABLE","PREMISES UNRESOLVED"))))</x:f>
        <x:v>OUTSIDE / EXCOMMUNICABLE</x:v>
      </x:c>
      <x:c r="I53" s="82" t="str">
        <x:f>IF(A53="","",IF(E53=H53,"OK",IF(AO53&lt;&gt;"","OVERRIDDEN","REVIEW")))</x:f>
        <x:v>OK</x:v>
      </x:c>
      <x:c r="J53" s="73" t="str">
        <x:v>Outside public critique of accusation and punishment</x:v>
      </x:c>
      <x:c r="K53" s="73" t="str">
        <x:v>Public intervention</x:v>
      </x:c>
      <x:c r="L53" s="73" t="str">
        <x:v>Newspaper / opinion</x:v>
      </x:c>
      <x:c r="M53" s="73" t="str">
        <x:v>Nonacademic</x:v>
      </x:c>
      <x:c r="N53" s="89" t="n">
        <x:v>2017</x:v>
      </x:c>
      <x:c r="O53" s="73" t="str">
        <x:v>Claire Berlinski</x:v>
      </x:c>
      <x:c r="P53" s="73" t="str">
        <x:v>The Warlock Hunt</x:v>
      </x:c>
      <x:c r="Q53" s="73" t="str">
        <x:v>The American Interest</x:v>
      </x:c>
      <x:c r="R53" s="73" t="str">
        <x:v>English</x:v>
      </x:c>
      <x:c r="S53" s="73" t="str">
        <x:v>#MeToo exposed real predators, but if accusation and subjective reinterpretation alone can define vague wrongdoing and destroy careers, accountability becomes disproportionate moral panic.</x:v>
      </x:c>
      <x:c r="T53" s="73" t="str">
        <x:v>A magazine essay, not peer-reviewed research.</x:v>
      </x:c>
      <x:c r="U53" s="73" t="str">
        <x:v>Source record verified</x:v>
      </x:c>
      <x:c r="V53" s="73" t="str">
        <x:v>www.the-american-interest.com/2017/12/06/the-warlock-hunt/</x:v>
      </x:c>
      <x:c r="W53" s="73" t="str"/>
      <x:c r="X53" s="93" t="n">
        <x:v>46230</x:v>
      </x:c>
      <x:c r="Y53" s="93" t="n">
        <x:v>46230</x:v>
      </x:c>
      <x:c r="Z53" s="73" t="str"/>
      <x:c r="AA53" s="73" t="str"/>
      <x:c r="AB53" s="73" t="n">
        <x:v>48</x:v>
      </x:c>
      <x:c r="AC53" s="73" t="str">
        <x:v>DIRECT OUTSIDE CRITIQUE</x:v>
      </x:c>
      <x:c r="AD53" s="73" t="str">
        <x:v>EXPLICIT CRITIQUE</x:v>
      </x:c>
      <x:c r="AE53" s="73" t="str">
        <x:v>YES</x:v>
      </x:c>
      <x:c r="AF53" s="73" t="str">
        <x:v>Public dissent, rebuttal, clarification, and boundary policing</x:v>
      </x:c>
      <x:c r="AG53" s="73" t="str">
        <x:v>DIRECT ENTAILMENT</x:v>
      </x:c>
      <x:c r="AH53" s="73" t="str">
        <x:v>Paraphrase: Preserves intimate or private life from generalized political adjudication.</x:v>
      </x:c>
      <x:c r="AI53" s="73" t="str">
        <x:v>Exact locator needed</x:v>
      </x:c>
      <x:c r="AJ53" s="73" t="str">
        <x:v>www.the-american-interest.com/2017/12/06/the-warlock-hunt/</x:v>
      </x:c>
      <x:c r="AK53" s="73" t="str">
        <x:v>DIRECT ENTAILMENT</x:v>
      </x:c>
      <x:c r="AL53" s="73" t="str">
        <x:v>Paraphrase: Requires individualized evidence and denies identity-based credibility authority.</x:v>
      </x:c>
      <x:c r="AM53" s="73" t="str">
        <x:v>Exact locator needed</x:v>
      </x:c>
      <x:c r="AN53" s="73" t="str">
        <x:v>www.the-american-interest.com/2017/12/06/the-warlock-hunt/</x:v>
      </x:c>
      <x:c r="AO53" s="73" t="str"/>
      <x:c r="AP53" s="73" t="str">
        <x:v>Research team</x:v>
      </x:c>
      <x:c r="AQ53" s="73" t="str">
        <x:v>GORGONWARS-PREMISE-1.0</x:v>
      </x:c>
      <x:c r="AR53" s="73" t="str"/>
      <x:c r="AS53" s="82" t="str">
        <x:f>IF(A53="","",IF(OR(E53="NOT APPLICABLE",E53="PREMISES UNRESOLVED"),"N/A",IF(OR(AND(F53&lt;&gt;"NO EVIDENCE",F53&lt;&gt;"NOT APPLICABLE",OR(AG53="",AH53="",AI53="",AJ53="",AG53="SYSTEM INFERENCE",AG53="ABSTRACT ONLY",AG53="SECONDARY REPORT",AG53="UNVERIFIED",AI53="Exact locator needed",AI53="HAU forum framing; exact target locator needed",AI53="Forum exchange; exact locator needed")),AND(G53&lt;&gt;"NO EVIDENCE",G53&lt;&gt;"NOT APPLICABLE",OR(AK53="",AL53="",AM53="",AN53="",AK53="SYSTEM INFERENCE",AK53="ABSTRACT ONLY",AK53="SECONDARY REPORT",AK53="UNVERIFIED",AM53="Exact locator needed",AM53="HAU forum framing; exact target locator needed",AM53="Forum exchange; exact locator needed"))),"EVIDENCE DEBT","READY")))</x:f>
        <x:v>EVIDENCE DEBT</x:v>
      </x:c>
      <x:c r="AT53" s="74" t="str"/>
    </x:row>
    <x:row r="54" ht="50" customHeight="1">
      <x:c r="A54" s="86" t="n">
        <x:v>49</x:v>
      </x:c>
      <x:c r="B54" s="76" t="str">
        <x:v>Active</x:v>
      </x:c>
      <x:c r="C54" s="90" t="n">
        <x:v>8</x:v>
      </x:c>
      <x:c r="D54" s="82" t="str">
        <x:f>IF(C54="","",IFERROR(VLOOKUP(C54,'Database controls'!$A$5:$B$20,2,FALSE),"NEW / UNCATEGORIZED"))</x:f>
        <x:v>Nonacademic outside and reception evidence</x:v>
      </x:c>
      <x:c r="E54" s="76" t="str">
        <x:v>OUTSIDE / EXCOMMUNICABLE</x:v>
      </x:c>
      <x:c r="F54" s="76" t="str">
        <x:v>REJECTS</x:v>
      </x:c>
      <x:c r="G54" s="76" t="str">
        <x:v>NO EVIDENCE</x:v>
      </x:c>
      <x:c r="H54" s="82" t="str">
        <x:f>IF(A54="","",IF(OR(F54="REJECTS",G54="REJECTS"),"OUTSIDE / EXCOMMUNICABLE",IF(AND(OR(F54="RETAINS",F54="RETAINS WITH QUALIFICATION"),OR(G54="RETAINS",G54="RETAINS WITH QUALIFICATION")),"INTERNAL GORGONWARS",IF(AND(F54="NOT APPLICABLE",G54="NOT APPLICABLE"),"NOT APPLICABLE","PREMISES UNRESOLVED"))))</x:f>
        <x:v>OUTSIDE / EXCOMMUNICABLE</x:v>
      </x:c>
      <x:c r="I54" s="82" t="str">
        <x:f>IF(A54="","",IF(E54=H54,"OK",IF(AO54&lt;&gt;"","OVERRIDDEN","REVIEW")))</x:f>
        <x:v>OK</x:v>
      </x:c>
      <x:c r="J54" s="76" t="str">
        <x:v>Outside public critique of category compression and agency loss</x:v>
      </x:c>
      <x:c r="K54" s="76" t="str">
        <x:v>Public intervention</x:v>
      </x:c>
      <x:c r="L54" s="76" t="str">
        <x:v>Newspaper / opinion</x:v>
      </x:c>
      <x:c r="M54" s="76" t="str">
        <x:v>Nonacademic</x:v>
      </x:c>
      <x:c r="N54" s="90" t="n">
        <x:v>2018</x:v>
      </x:c>
      <x:c r="O54" s="76" t="str">
        <x:v>Daphne Merkin</x:v>
      </x:c>
      <x:c r="P54" s="76" t="str">
        <x:v>Publicly, We Say #MeToo. Privately, We Have Misgivings</x:v>
      </x:c>
      <x:c r="Q54" s="76" t="str">
        <x:v>The New York Times</x:v>
      </x:c>
      <x:c r="R54" s="76" t="str">
        <x:v>English</x:v>
      </x:c>
      <x:c r="S54" s="76" t="str">
        <x:v>Sexism is real, but unclear categories, unproved accusations, corporate sexual moralism, and a permanent-victim script can suppress adult women’s agency and produce unjust punishment.</x:v>
      </x:c>
      <x:c r="T54" s="76" t="str">
        <x:v>An opinion essay and reception specimen, not academic evidence.</x:v>
      </x:c>
      <x:c r="U54" s="76" t="str">
        <x:v>Source record verified</x:v>
      </x:c>
      <x:c r="V54" s="76" t="str">
        <x:v>www.nytimes.com/2018/01/05/opinion/golden-globes-metoo.html</x:v>
      </x:c>
      <x:c r="W54" s="76" t="str"/>
      <x:c r="X54" s="94" t="n">
        <x:v>46230</x:v>
      </x:c>
      <x:c r="Y54" s="94" t="n">
        <x:v>46230</x:v>
      </x:c>
      <x:c r="Z54" s="76" t="str"/>
      <x:c r="AA54" s="76" t="str"/>
      <x:c r="AB54" s="76" t="n">
        <x:v>49</x:v>
      </x:c>
      <x:c r="AC54" s="76" t="str">
        <x:v>DIRECT OUTSIDE CRITIQUE</x:v>
      </x:c>
      <x:c r="AD54" s="76" t="str">
        <x:v>EXPLICIT CRITIQUE</x:v>
      </x:c>
      <x:c r="AE54" s="76" t="str">
        <x:v>YES</x:v>
      </x:c>
      <x:c r="AF54" s="76" t="str">
        <x:v>Public dissent, rebuttal, clarification, and boundary policing</x:v>
      </x:c>
      <x:c r="AG54" s="76" t="str">
        <x:v>DIRECT ENTAILMENT</x:v>
      </x:c>
      <x:c r="AH54" s="76" t="str">
        <x:v>Paraphrase: Preserves intimate or private life from generalized political adjudication.</x:v>
      </x:c>
      <x:c r="AI54" s="76" t="str">
        <x:v>Exact locator needed</x:v>
      </x:c>
      <x:c r="AJ54" s="76" t="str">
        <x:v>www.nytimes.com/2018/01/05/opinion/golden-globes-metoo.html</x:v>
      </x:c>
      <x:c r="AK54" s="76" t="str">
        <x:v>NO EVIDENCE</x:v>
      </x:c>
      <x:c r="AL54" s="76" t="str"/>
      <x:c r="AM54" s="76" t="str"/>
      <x:c r="AN54" s="76" t="str"/>
      <x:c r="AO54" s="76" t="str"/>
      <x:c r="AP54" s="76" t="str">
        <x:v>Research team</x:v>
      </x:c>
      <x:c r="AQ54" s="76" t="str">
        <x:v>GORGONWARS-PREMISE-1.0</x:v>
      </x:c>
      <x:c r="AR54" s="76" t="str"/>
      <x:c r="AS54" s="82" t="str">
        <x:f>IF(A54="","",IF(OR(E54="NOT APPLICABLE",E54="PREMISES UNRESOLVED"),"N/A",IF(OR(AND(F54&lt;&gt;"NO EVIDENCE",F54&lt;&gt;"NOT APPLICABLE",OR(AG54="",AH54="",AI54="",AJ54="",AG54="SYSTEM INFERENCE",AG54="ABSTRACT ONLY",AG54="SECONDARY REPORT",AG54="UNVERIFIED",AI54="Exact locator needed",AI54="HAU forum framing; exact target locator needed",AI54="Forum exchange; exact locator needed")),AND(G54&lt;&gt;"NO EVIDENCE",G54&lt;&gt;"NOT APPLICABLE",OR(AK54="",AL54="",AM54="",AN54="",AK54="SYSTEM INFERENCE",AK54="ABSTRACT ONLY",AK54="SECONDARY REPORT",AK54="UNVERIFIED",AM54="Exact locator needed",AM54="HAU forum framing; exact target locator needed",AM54="Forum exchange; exact locator needed"))),"EVIDENCE DEBT","READY")))</x:f>
        <x:v>EVIDENCE DEBT</x:v>
      </x:c>
      <x:c r="AT54" s="77" t="str"/>
    </x:row>
    <x:row r="55" ht="50" customHeight="1">
      <x:c r="A55" s="85" t="n">
        <x:v>50</x:v>
      </x:c>
      <x:c r="B55" s="73" t="str">
        <x:v>Active</x:v>
      </x:c>
      <x:c r="C55" s="89" t="n">
        <x:v>8</x:v>
      </x:c>
      <x:c r="D55" s="82" t="str">
        <x:f>IF(C55="","",IFERROR(VLOOKUP(C55,'Database controls'!$A$5:$B$20,2,FALSE),"NEW / UNCATEGORIZED"))</x:f>
        <x:v>Nonacademic outside and reception evidence</x:v>
      </x:c>
      <x:c r="E55" s="73" t="str">
        <x:v>OUTSIDE / EXCOMMUNICABLE</x:v>
      </x:c>
      <x:c r="F55" s="73" t="str">
        <x:v>REJECTS</x:v>
      </x:c>
      <x:c r="G55" s="73" t="str">
        <x:v>REJECTS</x:v>
      </x:c>
      <x:c r="H55" s="82" t="str">
        <x:f>IF(A55="","",IF(OR(F55="REJECTS",G55="REJECTS"),"OUTSIDE / EXCOMMUNICABLE",IF(AND(OR(F55="RETAINS",F55="RETAINS WITH QUALIFICATION"),OR(G55="RETAINS",G55="RETAINS WITH QUALIFICATION")),"INTERNAL GORGONWARS",IF(AND(F55="NOT APPLICABLE",G55="NOT APPLICABLE"),"NOT APPLICABLE","PREMISES UNRESOLVED"))))</x:f>
        <x:v>OUTSIDE / EXCOMMUNICABLE</x:v>
      </x:c>
      <x:c r="I55" s="82" t="str">
        <x:f>IF(A55="","",IF(E55=H55,"OK",IF(AO55&lt;&gt;"","OVERRIDDEN","REVIEW")))</x:f>
        <x:v>OK</x:v>
      </x:c>
      <x:c r="J55" s="73" t="str">
        <x:v>Authorial corroboration of La Cecla’s boundary critique</x:v>
      </x:c>
      <x:c r="K55" s="73" t="str">
        <x:v>Public intervention</x:v>
      </x:c>
      <x:c r="L55" s="73" t="str">
        <x:v>Newspaper / opinion</x:v>
      </x:c>
      <x:c r="M55" s="73" t="str">
        <x:v>Nonacademic</x:v>
      </x:c>
      <x:c r="N55" s="89" t="n">
        <x:v>2017</x:v>
      </x:c>
      <x:c r="O55" s="73" t="str">
        <x:v>Franco La Cecla</x:v>
      </x:c>
      <x:c r="P55" s="73" t="str">
        <x:v>Chi scrive è un maschio</x:v>
      </x:c>
      <x:c r="Q55" s="73" t="str">
        <x:v>Doppiozero</x:v>
      </x:c>
      <x:c r="R55" s="73" t="str">
        <x:v>Italian</x:v>
      </x:c>
      <x:c r="S55" s="73" t="str">
        <x:v>Condemning coercion does not require turning desire into a tribunal where identity decides who may speak, awkward sexuality becomes violence, and intimate negotiation becomes legal fear.</x:v>
      </x:c>
      <x:c r="T55" s="73" t="str">
        <x:v>A nonacademic essay used to corroborate the paywalled HAU argument, not a substitute for the HAU text.</x:v>
      </x:c>
      <x:c r="U55" s="73" t="str">
        <x:v>Partial / target-text gap</x:v>
      </x:c>
      <x:c r="V55" s="73" t="str">
        <x:v>www.doppiozero.com/chi-scrive-e-un-maschio</x:v>
      </x:c>
      <x:c r="W55" s="73" t="str"/>
      <x:c r="X55" s="93" t="n">
        <x:v>46230</x:v>
      </x:c>
      <x:c r="Y55" s="93" t="n">
        <x:v>46230</x:v>
      </x:c>
      <x:c r="Z55" s="73" t="str"/>
      <x:c r="AA55" s="73" t="str">
        <x:v>Related academic adaptation: source 9</x:v>
      </x:c>
      <x:c r="AB55" s="73" t="n">
        <x:v>50</x:v>
      </x:c>
      <x:c r="AC55" s="73" t="str">
        <x:v>DIRECT OUTSIDE CRITIQUE</x:v>
      </x:c>
      <x:c r="AD55" s="73" t="str">
        <x:v>EXPLICIT CRITIQUE</x:v>
      </x:c>
      <x:c r="AE55" s="73" t="str">
        <x:v>YES</x:v>
      </x:c>
      <x:c r="AF55" s="73" t="str">
        <x:v>Public dissent, rebuttal, clarification, and boundary policing</x:v>
      </x:c>
      <x:c r="AG55" s="73" t="str">
        <x:v>DIRECT ENTAILMENT</x:v>
      </x:c>
      <x:c r="AH55" s="73" t="str">
        <x:v>Paraphrase: Preserves intimate or private life from generalized political adjudication.</x:v>
      </x:c>
      <x:c r="AI55" s="73" t="str">
        <x:v>Exact locator needed</x:v>
      </x:c>
      <x:c r="AJ55" s="73" t="str">
        <x:v>www.doppiozero.com/chi-scrive-e-un-maschio</x:v>
      </x:c>
      <x:c r="AK55" s="73" t="str">
        <x:v>DIRECT ENTAILMENT</x:v>
      </x:c>
      <x:c r="AL55" s="73" t="str">
        <x:v>Paraphrase: Requires individualized evidence and denies identity-based credibility authority.</x:v>
      </x:c>
      <x:c r="AM55" s="73" t="str">
        <x:v>Exact locator needed</x:v>
      </x:c>
      <x:c r="AN55" s="73" t="str">
        <x:v>www.doppiozero.com/chi-scrive-e-un-maschio</x:v>
      </x:c>
      <x:c r="AO55" s="73" t="str"/>
      <x:c r="AP55" s="73" t="str">
        <x:v>Research team</x:v>
      </x:c>
      <x:c r="AQ55" s="73" t="str">
        <x:v>GORGONWARS-PREMISE-1.0</x:v>
      </x:c>
      <x:c r="AR55" s="73" t="str"/>
      <x:c r="AS55" s="82" t="str">
        <x:f>IF(A55="","",IF(OR(E55="NOT APPLICABLE",E55="PREMISES UNRESOLVED"),"N/A",IF(OR(AND(F55&lt;&gt;"NO EVIDENCE",F55&lt;&gt;"NOT APPLICABLE",OR(AG55="",AH55="",AI55="",AJ55="",AG55="SYSTEM INFERENCE",AG55="ABSTRACT ONLY",AG55="SECONDARY REPORT",AG55="UNVERIFIED",AI55="Exact locator needed",AI55="HAU forum framing; exact target locator needed",AI55="Forum exchange; exact locator needed")),AND(G55&lt;&gt;"NO EVIDENCE",G55&lt;&gt;"NOT APPLICABLE",OR(AK55="",AL55="",AM55="",AN55="",AK55="SYSTEM INFERENCE",AK55="ABSTRACT ONLY",AK55="SECONDARY REPORT",AK55="UNVERIFIED",AM55="Exact locator needed",AM55="HAU forum framing; exact target locator needed",AM55="Forum exchange; exact locator needed"))),"EVIDENCE DEBT","READY")))</x:f>
        <x:v>EVIDENCE DEBT</x:v>
      </x:c>
      <x:c r="AT55" s="74" t="str"/>
    </x:row>
    <x:row r="56" ht="50" customHeight="1">
      <x:c r="A56" s="86" t="n">
        <x:v>51</x:v>
      </x:c>
      <x:c r="B56" s="76" t="str">
        <x:v>Active</x:v>
      </x:c>
      <x:c r="C56" s="90" t="n">
        <x:v>8</x:v>
      </x:c>
      <x:c r="D56" s="82" t="str">
        <x:f>IF(C56="","",IFERROR(VLOOKUP(C56,'Database controls'!$A$5:$B$20,2,FALSE),"NEW / UNCATEGORIZED"))</x:f>
        <x:v>Nonacademic outside and reception evidence</x:v>
      </x:c>
      <x:c r="E56" s="76" t="str">
        <x:v>INTERNAL GORGONWARS</x:v>
      </x:c>
      <x:c r="F56" s="76" t="str">
        <x:v>RETAINS</x:v>
      </x:c>
      <x:c r="G56" s="76" t="str">
        <x:v>RETAINS</x:v>
      </x:c>
      <x:c r="H56" s="82" t="str">
        <x:f>IF(A56="","",IF(OR(F56="REJECTS",G56="REJECTS"),"OUTSIDE / EXCOMMUNICABLE",IF(AND(OR(F56="RETAINS",F56="RETAINS WITH QUALIFICATION"),OR(G56="RETAINS",G56="RETAINS WITH QUALIFICATION")),"INTERNAL GORGONWARS",IF(AND(F56="NOT APPLICABLE",G56="NOT APPLICABLE"),"NOT APPLICABLE","PREMISES UNRESOLVED"))))</x:f>
        <x:v>INTERNAL GORGONWARS</x:v>
      </x:c>
      <x:c r="I56" s="82" t="str">
        <x:f>IF(A56="","",IF(E56=H56,"OK",IF(AO56&lt;&gt;"","OVERRIDDEN","REVIEW")))</x:f>
        <x:v>OK</x:v>
      </x:c>
      <x:c r="J56" s="76" t="str">
        <x:v>Internal rebuttal and boundary-policing evidence</x:v>
      </x:c>
      <x:c r="K56" s="76" t="str">
        <x:v>Public intervention</x:v>
      </x:c>
      <x:c r="L56" s="76" t="str">
        <x:v>Newspaper / opinion</x:v>
      </x:c>
      <x:c r="M56" s="76" t="str">
        <x:v>Nonacademic</x:v>
      </x:c>
      <x:c r="N56" s="90" t="n">
        <x:v>2018</x:v>
      </x:c>
      <x:c r="O56" s="76" t="str">
        <x:v>Franco Palazzi</x:v>
      </x:c>
      <x:c r="P56" s="76" t="str">
        <x:v>Weinstein. Caro La Cecla non sono d’accordo</x:v>
      </x:c>
      <x:c r="Q56" s="76" t="str">
        <x:v>Doppiozero</x:v>
      </x:c>
      <x:c r="R56" s="76" t="str">
        <x:v>Italian</x:v>
      </x:c>
      <x:c r="S56" s="76" t="str">
        <x:v>La Cecla mistakes structural sexism for a clash of intentions, because men’s privileged position limits their ability to define women’s experience and apparent neutrality reproduces male power.</x:v>
      </x:c>
      <x:c r="T56" s="76" t="str">
        <x:v>A rebuttal and reception specimen, not proof that all feminism formally excommunicates La Cecla.</x:v>
      </x:c>
      <x:c r="U56" s="76" t="str">
        <x:v>Source record verified</x:v>
      </x:c>
      <x:c r="V56" s="76" t="str">
        <x:v>www.doppiozero.com/weinstein-caro-la-cecla-non-sono-daccordo</x:v>
      </x:c>
      <x:c r="W56" s="76" t="str"/>
      <x:c r="X56" s="94" t="n">
        <x:v>46230</x:v>
      </x:c>
      <x:c r="Y56" s="94" t="n">
        <x:v>46230</x:v>
      </x:c>
      <x:c r="Z56" s="76" t="str"/>
      <x:c r="AA56" s="76" t="str"/>
      <x:c r="AB56" s="76" t="n">
        <x:v>51</x:v>
      </x:c>
      <x:c r="AC56" s="76" t="str">
        <x:v>DEFENSE / INTERNAL REPLY</x:v>
      </x:c>
      <x:c r="AD56" s="76" t="str">
        <x:v>DEFENSE</x:v>
      </x:c>
      <x:c r="AE56" s="76" t="str">
        <x:v>YES</x:v>
      </x:c>
      <x:c r="AF56" s="76" t="str">
        <x:v>Public dissent, rebuttal, clarification, and boundary policing</x:v>
      </x:c>
      <x:c r="AG56" s="76" t="str">
        <x:v>DIRECT ENTAILMENT</x:v>
      </x:c>
      <x:c r="AH56" s="76" t="str">
        <x:v>Paraphrase: Treats personal disclosure or intimate experience as political knowledge or collective action.</x:v>
      </x:c>
      <x:c r="AI56" s="76" t="str">
        <x:v>Exact locator needed</x:v>
      </x:c>
      <x:c r="AJ56" s="76" t="str">
        <x:v>www.doppiozero.com/weinstein-caro-la-cecla-non-sono-daccordo</x:v>
      </x:c>
      <x:c r="AK56" s="76" t="str">
        <x:v>DIRECT ENTAILMENT</x:v>
      </x:c>
      <x:c r="AL56" s="76" t="str">
        <x:v>Paraphrase: Treats marginalized or survivor position as distinctive epistemic or political authority.</x:v>
      </x:c>
      <x:c r="AM56" s="76" t="str">
        <x:v>Exact locator needed</x:v>
      </x:c>
      <x:c r="AN56" s="76" t="str">
        <x:v>www.doppiozero.com/weinstein-caro-la-cecla-non-sono-daccordo</x:v>
      </x:c>
      <x:c r="AO56" s="76" t="str"/>
      <x:c r="AP56" s="76" t="str">
        <x:v>Research team</x:v>
      </x:c>
      <x:c r="AQ56" s="76" t="str">
        <x:v>GORGONWARS-PREMISE-1.0</x:v>
      </x:c>
      <x:c r="AR56" s="76" t="str"/>
      <x:c r="AS56" s="82" t="str">
        <x:f>IF(A56="","",IF(OR(E56="NOT APPLICABLE",E56="PREMISES UNRESOLVED"),"N/A",IF(OR(AND(F56&lt;&gt;"NO EVIDENCE",F56&lt;&gt;"NOT APPLICABLE",OR(AG56="",AH56="",AI56="",AJ56="",AG56="SYSTEM INFERENCE",AG56="ABSTRACT ONLY",AG56="SECONDARY REPORT",AG56="UNVERIFIED",AI56="Exact locator needed",AI56="HAU forum framing; exact target locator needed",AI56="Forum exchange; exact locator needed")),AND(G56&lt;&gt;"NO EVIDENCE",G56&lt;&gt;"NOT APPLICABLE",OR(AK56="",AL56="",AM56="",AN56="",AK56="SYSTEM INFERENCE",AK56="ABSTRACT ONLY",AK56="SECONDARY REPORT",AK56="UNVERIFIED",AM56="Exact locator needed",AM56="HAU forum framing; exact target locator needed",AM56="Forum exchange; exact locator needed"))),"EVIDENCE DEBT","READY")))</x:f>
        <x:v>EVIDENCE DEBT</x:v>
      </x:c>
      <x:c r="AT56" s="77" t="str"/>
    </x:row>
    <x:row r="57" ht="50" customHeight="1">
      <x:c r="A57" s="85" t="n">
        <x:v>52</x:v>
      </x:c>
      <x:c r="B57" s="73" t="str">
        <x:v>Active</x:v>
      </x:c>
      <x:c r="C57" s="89" t="n">
        <x:v>8</x:v>
      </x:c>
      <x:c r="D57" s="82" t="str">
        <x:f>IF(C57="","",IFERROR(VLOOKUP(C57,'Database controls'!$A$5:$B$20,2,FALSE),"NEW / UNCATEGORIZED"))</x:f>
        <x:v>Nonacademic outside and reception evidence</x:v>
      </x:c>
      <x:c r="E57" s="73" t="str">
        <x:v>PREMISES UNRESOLVED</x:v>
      </x:c>
      <x:c r="F57" s="73" t="str">
        <x:v>NO EVIDENCE</x:v>
      </x:c>
      <x:c r="G57" s="73" t="str">
        <x:v>NO EVIDENCE</x:v>
      </x:c>
      <x:c r="H57" s="82" t="str">
        <x:f>IF(A57="","",IF(OR(F57="REJECTS",G57="REJECTS"),"OUTSIDE / EXCOMMUNICABLE",IF(AND(OR(F57="RETAINS",F57="RETAINS WITH QUALIFICATION"),OR(G57="RETAINS",G57="RETAINS WITH QUALIFICATION")),"INTERNAL GORGONWARS",IF(AND(F57="NOT APPLICABLE",G57="NOT APPLICABLE"),"NOT APPLICABLE","PREMISES UNRESOLVED"))))</x:f>
        <x:v>PREMISES UNRESOLVED</x:v>
      </x:c>
      <x:c r="I57" s="82" t="str">
        <x:f>IF(A57="","",IF(E57=H57,"OK",IF(AO57&lt;&gt;"","OVERRIDDEN","REVIEW")))</x:f>
        <x:v>OK</x:v>
      </x:c>
      <x:c r="J57" s="73" t="str">
        <x:v>Mixed public critique from within feminist debate</x:v>
      </x:c>
      <x:c r="K57" s="73" t="str">
        <x:v>Public intervention</x:v>
      </x:c>
      <x:c r="L57" s="73" t="str">
        <x:v>Newspaper / opinion</x:v>
      </x:c>
      <x:c r="M57" s="73" t="str">
        <x:v>Nonacademic</x:v>
      </x:c>
      <x:c r="N57" s="89" t="n">
        <x:v>2018</x:v>
      </x:c>
      <x:c r="O57" s="73" t="str">
        <x:v>Laura Kipnis</x:v>
      </x:c>
      <x:c r="P57" s="73" t="str">
        <x:v>Has #MeToo gone too far, or not far enough? The answer is both</x:v>
      </x:c>
      <x:c r="Q57" s="73" t="str">
        <x:v>The Guardian</x:v>
      </x:c>
      <x:c r="R57" s="73" t="str">
        <x:v>English</x:v>
      </x:c>
      <x:c r="S57" s="73" t="str">
        <x:v>#MeToo is necessary for bodily autonomy, but it overreaches when rape, coercion, jokes, clumsy advances, and gray-zone desire are collapsed into one accusation-and-punishment category.</x:v>
      </x:c>
      <x:c r="T57" s="73" t="str">
        <x:v>A mixed opinion essay whose premise position cannot be inferred solely from its criticism of overreach.</x:v>
      </x:c>
      <x:c r="U57" s="73" t="str">
        <x:v>Source record verified</x:v>
      </x:c>
      <x:c r="V57" s="73" t="str">
        <x:v>www.theguardian.com/commentisfree/2018/jan/13/has-me-too-catherine-deneuve-laura-kipnis</x:v>
      </x:c>
      <x:c r="W57" s="73" t="str"/>
      <x:c r="X57" s="93" t="n">
        <x:v>46230</x:v>
      </x:c>
      <x:c r="Y57" s="93" t="n">
        <x:v>46230</x:v>
      </x:c>
      <x:c r="Z57" s="73" t="str"/>
      <x:c r="AA57" s="73" t="str"/>
      <x:c r="AB57" s="73" t="n">
        <x:v>52</x:v>
      </x:c>
      <x:c r="AC57" s="73" t="str">
        <x:v>ADJACENT CONTEXT</x:v>
      </x:c>
      <x:c r="AD57" s="73" t="str">
        <x:v>UNCLEAR</x:v>
      </x:c>
      <x:c r="AE57" s="73" t="str">
        <x:v>YES</x:v>
      </x:c>
      <x:c r="AF57" s="73" t="str">
        <x:v>Public dissent, rebuttal, clarification, and boundary policing</x:v>
      </x:c>
      <x:c r="AG57" s="73" t="str">
        <x:v>NO EVIDENCE</x:v>
      </x:c>
      <x:c r="AH57" s="73" t="str"/>
      <x:c r="AI57" s="73" t="str"/>
      <x:c r="AJ57" s="73" t="str"/>
      <x:c r="AK57" s="73" t="str">
        <x:v>NO EVIDENCE</x:v>
      </x:c>
      <x:c r="AL57" s="73" t="str"/>
      <x:c r="AM57" s="73" t="str"/>
      <x:c r="AN57" s="73" t="str"/>
      <x:c r="AO57" s="73" t="str"/>
      <x:c r="AP57" s="73" t="str">
        <x:v>Research team</x:v>
      </x:c>
      <x:c r="AQ57" s="73" t="str">
        <x:v>GORGONWARS-PREMISE-1.0</x:v>
      </x:c>
      <x:c r="AR57" s="73" t="str"/>
      <x:c r="AS57" s="82" t="str">
        <x:f>IF(A57="","",IF(OR(E57="NOT APPLICABLE",E57="PREMISES UNRESOLVED"),"N/A",IF(OR(AND(F57&lt;&gt;"NO EVIDENCE",F57&lt;&gt;"NOT APPLICABLE",OR(AG57="",AH57="",AI57="",AJ57="",AG57="SYSTEM INFERENCE",AG57="ABSTRACT ONLY",AG57="SECONDARY REPORT",AG57="UNVERIFIED",AI57="Exact locator needed",AI57="HAU forum framing; exact target locator needed",AI57="Forum exchange; exact locator needed")),AND(G57&lt;&gt;"NO EVIDENCE",G57&lt;&gt;"NOT APPLICABLE",OR(AK57="",AL57="",AM57="",AN57="",AK57="SYSTEM INFERENCE",AK57="ABSTRACT ONLY",AK57="SECONDARY REPORT",AK57="UNVERIFIED",AM57="Exact locator needed",AM57="HAU forum framing; exact target locator needed",AM57="Forum exchange; exact locator needed"))),"EVIDENCE DEBT","READY")))</x:f>
        <x:v>N/A</x:v>
      </x:c>
      <x:c r="AT57" s="74" t="str"/>
    </x:row>
    <x:row r="58" ht="50" customHeight="1">
      <x:c r="A58" s="86" t="n">
        <x:v>53</x:v>
      </x:c>
      <x:c r="B58" s="76" t="str">
        <x:v>Active</x:v>
      </x:c>
      <x:c r="C58" s="90" t="n">
        <x:v>8</x:v>
      </x:c>
      <x:c r="D58" s="82" t="str">
        <x:f>IF(C58="","",IFERROR(VLOOKUP(C58,'Database controls'!$A$5:$B$20,2,FALSE),"NEW / UNCATEGORIZED"))</x:f>
        <x:v>Nonacademic outside and reception evidence</x:v>
      </x:c>
      <x:c r="E58" s="76" t="str">
        <x:v>NOT APPLICABLE</x:v>
      </x:c>
      <x:c r="F58" s="76" t="str">
        <x:v>NOT APPLICABLE</x:v>
      </x:c>
      <x:c r="G58" s="76" t="str">
        <x:v>NOT APPLICABLE</x:v>
      </x:c>
      <x:c r="H58" s="82" t="str">
        <x:f>IF(A58="","",IF(OR(F58="REJECTS",G58="REJECTS"),"OUTSIDE / EXCOMMUNICABLE",IF(AND(OR(F58="RETAINS",F58="RETAINS WITH QUALIFICATION"),OR(G58="RETAINS",G58="RETAINS WITH QUALIFICATION")),"INTERNAL GORGONWARS",IF(AND(F58="NOT APPLICABLE",G58="NOT APPLICABLE"),"NOT APPLICABLE","PREMISES UNRESOLVED"))))</x:f>
        <x:v>NOT APPLICABLE</x:v>
      </x:c>
      <x:c r="I58" s="82" t="str">
        <x:f>IF(A58="","",IF(E58=H58,"OK",IF(AO58&lt;&gt;"","OVERRIDDEN","REVIEW")))</x:f>
        <x:v>OK</x:v>
      </x:c>
      <x:c r="J58" s="76" t="str">
        <x:v>Reception evidence of hostile boundary policing</x:v>
      </x:c>
      <x:c r="K58" s="76" t="str">
        <x:v>Reception only</x:v>
      </x:c>
      <x:c r="L58" s="76" t="str">
        <x:v>Press report</x:v>
      </x:c>
      <x:c r="M58" s="76" t="str">
        <x:v>Nonacademic</x:v>
      </x:c>
      <x:c r="N58" s="90" t="n">
        <x:v>2018</x:v>
      </x:c>
      <x:c r="O58" s="76" t="str">
        <x:v>Kim Willsher</x:v>
      </x:c>
      <x:c r="P58" s="76" t="str">
        <x:v>Catherine Deneuve’s claim of #MeToo witch-hunt sparks backlash</x:v>
      </x:c>
      <x:c r="Q58" s="76" t="str">
        <x:v>The Guardian</x:v>
      </x:c>
      <x:c r="R58" s="76" t="str">
        <x:v>English</x:v>
      </x:c>
      <x:c r="S58" s="76" t="str">
        <x:v>The backlash classified dissenters as rape apologists, defenders of abusers, privileged relics, or victims of internalized misogyny, documenting functional boundary policing.</x:v>
      </x:c>
      <x:c r="T58" s="76" t="str">
        <x:v>News reporting documents reactions; it does not prove a formal expulsion mechanism or the reporter’s own premise position.</x:v>
      </x:c>
      <x:c r="U58" s="76" t="str">
        <x:v>Secondary verification</x:v>
      </x:c>
      <x:c r="V58" s="76" t="str">
        <x:v>www.theguardian.com/film/2018/jan/10/catherine-deneuve-claim-metoo-witch-hunt-backlash</x:v>
      </x:c>
      <x:c r="W58" s="76" t="str"/>
      <x:c r="X58" s="94" t="n">
        <x:v>46230</x:v>
      </x:c>
      <x:c r="Y58" s="94" t="n">
        <x:v>46230</x:v>
      </x:c>
      <x:c r="Z58" s="76" t="str"/>
      <x:c r="AA58" s="76" t="str"/>
      <x:c r="AB58" s="76" t="n">
        <x:v>53</x:v>
      </x:c>
      <x:c r="AC58" s="76" t="str">
        <x:v>RECEPTION REPORT</x:v>
      </x:c>
      <x:c r="AD58" s="76" t="str">
        <x:v>REPORTS OTHERS' CRITICISM</x:v>
      </x:c>
      <x:c r="AE58" s="76" t="str">
        <x:v>NO</x:v>
      </x:c>
      <x:c r="AF58" s="76" t="str">
        <x:v>Public dissent, rebuttal, clarification, and boundary policing</x:v>
      </x:c>
      <x:c r="AG58" s="76" t="str">
        <x:v>NOT APPLICABLE</x:v>
      </x:c>
      <x:c r="AH58" s="76" t="str"/>
      <x:c r="AI58" s="76" t="str"/>
      <x:c r="AJ58" s="76" t="str"/>
      <x:c r="AK58" s="76" t="str">
        <x:v>NOT APPLICABLE</x:v>
      </x:c>
      <x:c r="AL58" s="76" t="str"/>
      <x:c r="AM58" s="76" t="str"/>
      <x:c r="AN58" s="76" t="str"/>
      <x:c r="AO58" s="76" t="str"/>
      <x:c r="AP58" s="76" t="str">
        <x:v>Research team</x:v>
      </x:c>
      <x:c r="AQ58" s="76" t="str">
        <x:v>GORGONWARS-PREMISE-1.0</x:v>
      </x:c>
      <x:c r="AR58" s="76" t="str"/>
      <x:c r="AS58" s="82" t="str">
        <x:f>IF(A58="","",IF(OR(E58="NOT APPLICABLE",E58="PREMISES UNRESOLVED"),"N/A",IF(OR(AND(F58&lt;&gt;"NO EVIDENCE",F58&lt;&gt;"NOT APPLICABLE",OR(AG58="",AH58="",AI58="",AJ58="",AG58="SYSTEM INFERENCE",AG58="ABSTRACT ONLY",AG58="SECONDARY REPORT",AG58="UNVERIFIED",AI58="Exact locator needed",AI58="HAU forum framing; exact target locator needed",AI58="Forum exchange; exact locator needed")),AND(G58&lt;&gt;"NO EVIDENCE",G58&lt;&gt;"NOT APPLICABLE",OR(AK58="",AL58="",AM58="",AN58="",AK58="SYSTEM INFERENCE",AK58="ABSTRACT ONLY",AK58="SECONDARY REPORT",AK58="UNVERIFIED",AM58="Exact locator needed",AM58="HAU forum framing; exact target locator needed",AM58="Forum exchange; exact locator needed"))),"EVIDENCE DEBT","READY")))</x:f>
        <x:v>N/A</x:v>
      </x:c>
      <x:c r="AT58" s="77" t="str"/>
    </x:row>
    <x:row r="59" ht="50" customHeight="1">
      <x:c r="A59" s="85" t="n">
        <x:v>54</x:v>
      </x:c>
      <x:c r="B59" s="73" t="str">
        <x:v>Active</x:v>
      </x:c>
      <x:c r="C59" s="89" t="n">
        <x:v>8</x:v>
      </x:c>
      <x:c r="D59" s="82" t="str">
        <x:f>IF(C59="","",IFERROR(VLOOKUP(C59,'Database controls'!$A$5:$B$20,2,FALSE),"NEW / UNCATEGORIZED"))</x:f>
        <x:v>Nonacademic outside and reception evidence</x:v>
      </x:c>
      <x:c r="E59" s="73" t="str">
        <x:v>NOT APPLICABLE</x:v>
      </x:c>
      <x:c r="F59" s="73" t="str">
        <x:v>NOT APPLICABLE</x:v>
      </x:c>
      <x:c r="G59" s="73" t="str">
        <x:v>NOT APPLICABLE</x:v>
      </x:c>
      <x:c r="H59" s="82" t="str">
        <x:f>IF(A59="","",IF(OR(F59="REJECTS",G59="REJECTS"),"OUTSIDE / EXCOMMUNICABLE",IF(AND(OR(F59="RETAINS",F59="RETAINS WITH QUALIFICATION"),OR(G59="RETAINS",G59="RETAINS WITH QUALIFICATION")),"INTERNAL GORGONWARS",IF(AND(F59="NOT APPLICABLE",G59="NOT APPLICABLE"),"NOT APPLICABLE","PREMISES UNRESOLVED"))))</x:f>
        <x:v>NOT APPLICABLE</x:v>
      </x:c>
      <x:c r="I59" s="82" t="str">
        <x:f>IF(A59="","",IF(E59=H59,"OK",IF(AO59&lt;&gt;"","OVERRIDDEN","REVIEW")))</x:f>
        <x:v>OK</x:v>
      </x:c>
      <x:c r="J59" s="73" t="str">
        <x:v>Clarification and reception evidence</x:v>
      </x:c>
      <x:c r="K59" s="73" t="str">
        <x:v>Reception only</x:v>
      </x:c>
      <x:c r="L59" s="73" t="str">
        <x:v>Press report</x:v>
      </x:c>
      <x:c r="M59" s="73" t="str">
        <x:v>Nonacademic</x:v>
      </x:c>
      <x:c r="N59" s="89" t="n">
        <x:v>2018</x:v>
      </x:c>
      <x:c r="O59" s="73" t="str">
        <x:v>Kim Willsher</x:v>
      </x:c>
      <x:c r="P59" s="73" t="str">
        <x:v>Catherine Deneuve apologises to sex attack victims after #MeToo controversy</x:v>
      </x:c>
      <x:c r="Q59" s="73" t="str">
        <x:v>The Guardian</x:v>
      </x:c>
      <x:c r="R59" s="73" t="str">
        <x:v>English</x:v>
      </x:c>
      <x:c r="S59" s="73" t="str">
        <x:v>Deneuve apologized to victims and condemned a co-signatory’s remarks while retaining her objection to media lynching, showing clarification rather than wholesale recantation.</x:v>
      </x:c>
      <x:c r="T59" s="73" t="str">
        <x:v>A news report about clarification, not an academic assessment of the underlying claims.</x:v>
      </x:c>
      <x:c r="U59" s="73" t="str">
        <x:v>Secondary verification</x:v>
      </x:c>
      <x:c r="V59" s="73" t="str">
        <x:v>www.theguardian.com/film/2018/jan/15/catherine-deneuve-speaks-out-over-metoo-controversy</x:v>
      </x:c>
      <x:c r="W59" s="73" t="str"/>
      <x:c r="X59" s="93" t="n">
        <x:v>46230</x:v>
      </x:c>
      <x:c r="Y59" s="93" t="n">
        <x:v>46230</x:v>
      </x:c>
      <x:c r="Z59" s="73" t="str"/>
      <x:c r="AA59" s="73" t="str"/>
      <x:c r="AB59" s="73" t="n">
        <x:v>54</x:v>
      </x:c>
      <x:c r="AC59" s="73" t="str">
        <x:v>RECEPTION REPORT</x:v>
      </x:c>
      <x:c r="AD59" s="73" t="str">
        <x:v>REPORTS OTHERS' CRITICISM</x:v>
      </x:c>
      <x:c r="AE59" s="73" t="str">
        <x:v>NO</x:v>
      </x:c>
      <x:c r="AF59" s="73" t="str">
        <x:v>Public dissent, rebuttal, clarification, and boundary policing</x:v>
      </x:c>
      <x:c r="AG59" s="73" t="str">
        <x:v>NOT APPLICABLE</x:v>
      </x:c>
      <x:c r="AH59" s="73" t="str"/>
      <x:c r="AI59" s="73" t="str"/>
      <x:c r="AJ59" s="73" t="str"/>
      <x:c r="AK59" s="73" t="str">
        <x:v>NOT APPLICABLE</x:v>
      </x:c>
      <x:c r="AL59" s="73" t="str"/>
      <x:c r="AM59" s="73" t="str"/>
      <x:c r="AN59" s="73" t="str"/>
      <x:c r="AO59" s="73" t="str"/>
      <x:c r="AP59" s="73" t="str">
        <x:v>Research team</x:v>
      </x:c>
      <x:c r="AQ59" s="73" t="str">
        <x:v>GORGONWARS-PREMISE-1.0</x:v>
      </x:c>
      <x:c r="AR59" s="73" t="str"/>
      <x:c r="AS59" s="82" t="str">
        <x:f>IF(A59="","",IF(OR(E59="NOT APPLICABLE",E59="PREMISES UNRESOLVED"),"N/A",IF(OR(AND(F59&lt;&gt;"NO EVIDENCE",F59&lt;&gt;"NOT APPLICABLE",OR(AG59="",AH59="",AI59="",AJ59="",AG59="SYSTEM INFERENCE",AG59="ABSTRACT ONLY",AG59="SECONDARY REPORT",AG59="UNVERIFIED",AI59="Exact locator needed",AI59="HAU forum framing; exact target locator needed",AI59="Forum exchange; exact locator needed")),AND(G59&lt;&gt;"NO EVIDENCE",G59&lt;&gt;"NOT APPLICABLE",OR(AK59="",AL59="",AM59="",AN59="",AK59="SYSTEM INFERENCE",AK59="ABSTRACT ONLY",AK59="SECONDARY REPORT",AK59="UNVERIFIED",AM59="Exact locator needed",AM59="HAU forum framing; exact target locator needed",AM59="Forum exchange; exact locator needed"))),"EVIDENCE DEBT","READY")))</x:f>
        <x:v>N/A</x:v>
      </x:c>
      <x:c r="AT59" s="74" t="str"/>
    </x:row>
    <x:row r="60" ht="50" customHeight="1">
      <x:c r="A60" s="86" t="n">
        <x:v>55</x:v>
      </x:c>
      <x:c r="B60" s="76" t="str">
        <x:v>Active</x:v>
      </x:c>
      <x:c r="C60" s="90" t="n">
        <x:v>9</x:v>
      </x:c>
      <x:c r="D60" s="82" t="str">
        <x:f>IF(C60="","",IFERROR(VLOOKUP(C60,'Database controls'!$A$5:$B$20,2,FALSE),"NEW / UNCATEGORIZED"))</x:f>
        <x:v>AI ethics, scanner mechanisms, and pluralistic correctives</x:v>
      </x:c>
      <x:c r="E60" s="76" t="str">
        <x:v>NOT APPLICABLE</x:v>
      </x:c>
      <x:c r="F60" s="76" t="str">
        <x:v>NOT APPLICABLE</x:v>
      </x:c>
      <x:c r="G60" s="76" t="str">
        <x:v>NOT APPLICABLE</x:v>
      </x:c>
      <x:c r="H60" s="82" t="str">
        <x:f>IF(A60="","",IF(OR(F60="REJECTS",G60="REJECTS"),"OUTSIDE / EXCOMMUNICABLE",IF(AND(OR(F60="RETAINS",F60="RETAINS WITH QUALIFICATION"),OR(G60="RETAINS",G60="RETAINS WITH QUALIFICATION")),"INTERNAL GORGONWARS",IF(AND(F60="NOT APPLICABLE",G60="NOT APPLICABLE"),"NOT APPLICABLE","PREMISES UNRESOLVED"))))</x:f>
        <x:v>NOT APPLICABLE</x:v>
      </x:c>
      <x:c r="I60" s="82" t="str">
        <x:f>IF(A60="","",IF(E60=H60,"OK",IF(AO60&lt;&gt;"","OVERRIDDEN","REVIEW")))</x:f>
        <x:v>OK</x:v>
      </x:c>
      <x:c r="J60" s="76" t="str">
        <x:v>Problem-formulation mechanism</x:v>
      </x:c>
      <x:c r="K60" s="76" t="str">
        <x:v>AI / scanner mechanism only</x:v>
      </x:c>
      <x:c r="L60" s="76" t="str">
        <x:v>Conference paper</x:v>
      </x:c>
      <x:c r="M60" s="76" t="str">
        <x:v>Conference review</x:v>
      </x:c>
      <x:c r="N60" s="90" t="n">
        <x:v>2019</x:v>
      </x:c>
      <x:c r="O60" s="76" t="str">
        <x:v>Samir Passi and Solon Barocas</x:v>
      </x:c>
      <x:c r="P60" s="76" t="str">
        <x:v>Problem Formulation and Fairness</x:v>
      </x:c>
      <x:c r="Q60" s="76" t="str">
        <x:v>Proceedings of FAT* / FAccT</x:v>
      </x:c>
      <x:c r="R60" s="76" t="str">
        <x:v>English</x:v>
      </x:c>
      <x:c r="S60" s="76" t="str">
        <x:v>A system’s values enter before modeling, when designers decide what problem counts, what target represents it, and which outcomes matter.</x:v>
      </x:c>
      <x:c r="T60" s="76" t="str">
        <x:v>Explains a general sociotechnical mechanism; it does not prove that a particular #MeToo scan was biased without a separate audit.</x:v>
      </x:c>
      <x:c r="U60" s="76" t="str">
        <x:v>Source record verified</x:v>
      </x:c>
      <x:c r="V60" s="76" t="str">
        <x:v>www.doi.org/10.1145/3287560.3287567</x:v>
      </x:c>
      <x:c r="W60" s="76" t="str">
        <x:v>10.1145/3287560.3287567</x:v>
      </x:c>
      <x:c r="X60" s="94" t="n">
        <x:v>46230</x:v>
      </x:c>
      <x:c r="Y60" s="94" t="n">
        <x:v>46230</x:v>
      </x:c>
      <x:c r="Z60" s="76" t="str"/>
      <x:c r="AA60" s="76" t="str"/>
      <x:c r="AB60" s="76" t="n">
        <x:v>55</x:v>
      </x:c>
      <x:c r="AC60" s="76" t="str">
        <x:v>SCANNER MECHANISM</x:v>
      </x:c>
      <x:c r="AD60" s="76" t="str">
        <x:v>MECHANISM / ADJACENT</x:v>
      </x:c>
      <x:c r="AE60" s="76" t="str">
        <x:v>NO</x:v>
      </x:c>
      <x:c r="AF60" s="76" t="str">
        <x:v>Search, labeling, ranking, moderation, alignment, and evaluator bias</x:v>
      </x:c>
      <x:c r="AG60" s="76" t="str">
        <x:v>NOT APPLICABLE</x:v>
      </x:c>
      <x:c r="AH60" s="76" t="str"/>
      <x:c r="AI60" s="76" t="str"/>
      <x:c r="AJ60" s="76" t="str"/>
      <x:c r="AK60" s="76" t="str">
        <x:v>NOT APPLICABLE</x:v>
      </x:c>
      <x:c r="AL60" s="76" t="str"/>
      <x:c r="AM60" s="76" t="str"/>
      <x:c r="AN60" s="76" t="str"/>
      <x:c r="AO60" s="76" t="str"/>
      <x:c r="AP60" s="76" t="str">
        <x:v>Research team</x:v>
      </x:c>
      <x:c r="AQ60" s="76" t="str">
        <x:v>GORGONWARS-PREMISE-1.0</x:v>
      </x:c>
      <x:c r="AR60" s="76" t="str"/>
      <x:c r="AS60" s="82" t="str">
        <x:f>IF(A60="","",IF(OR(E60="NOT APPLICABLE",E60="PREMISES UNRESOLVED"),"N/A",IF(OR(AND(F60&lt;&gt;"NO EVIDENCE",F60&lt;&gt;"NOT APPLICABLE",OR(AG60="",AH60="",AI60="",AJ60="",AG60="SYSTEM INFERENCE",AG60="ABSTRACT ONLY",AG60="SECONDARY REPORT",AG60="UNVERIFIED",AI60="Exact locator needed",AI60="HAU forum framing; exact target locator needed",AI60="Forum exchange; exact locator needed")),AND(G60&lt;&gt;"NO EVIDENCE",G60&lt;&gt;"NOT APPLICABLE",OR(AK60="",AL60="",AM60="",AN60="",AK60="SYSTEM INFERENCE",AK60="ABSTRACT ONLY",AK60="SECONDARY REPORT",AK60="UNVERIFIED",AM60="Exact locator needed",AM60="HAU forum framing; exact target locator needed",AM60="Forum exchange; exact locator needed"))),"EVIDENCE DEBT","READY")))</x:f>
        <x:v>N/A</x:v>
      </x:c>
      <x:c r="AT60" s="77" t="str"/>
    </x:row>
    <x:row r="61" ht="50" customHeight="1">
      <x:c r="A61" s="85" t="n">
        <x:v>56</x:v>
      </x:c>
      <x:c r="B61" s="73" t="str">
        <x:v>Active</x:v>
      </x:c>
      <x:c r="C61" s="89" t="n">
        <x:v>9</x:v>
      </x:c>
      <x:c r="D61" s="82" t="str">
        <x:f>IF(C61="","",IFERROR(VLOOKUP(C61,'Database controls'!$A$5:$B$20,2,FALSE),"NEW / UNCATEGORIZED"))</x:f>
        <x:v>AI ethics, scanner mechanisms, and pluralistic correctives</x:v>
      </x:c>
      <x:c r="E61" s="73" t="str">
        <x:v>NOT APPLICABLE</x:v>
      </x:c>
      <x:c r="F61" s="73" t="str">
        <x:v>NOT APPLICABLE</x:v>
      </x:c>
      <x:c r="G61" s="73" t="str">
        <x:v>NOT APPLICABLE</x:v>
      </x:c>
      <x:c r="H61" s="82" t="str">
        <x:f>IF(A61="","",IF(OR(F61="REJECTS",G61="REJECTS"),"OUTSIDE / EXCOMMUNICABLE",IF(AND(OR(F61="RETAINS",F61="RETAINS WITH QUALIFICATION"),OR(G61="RETAINS",G61="RETAINS WITH QUALIFICATION")),"INTERNAL GORGONWARS",IF(AND(F61="NOT APPLICABLE",G61="NOT APPLICABLE"),"NOT APPLICABLE","PREMISES UNRESOLVED"))))</x:f>
        <x:v>NOT APPLICABLE</x:v>
      </x:c>
      <x:c r="I61" s="82" t="str">
        <x:f>IF(A61="","",IF(E61=H61,"OK",IF(AO61&lt;&gt;"","OVERRIDDEN","REVIEW")))</x:f>
        <x:v>OK</x:v>
      </x:c>
      <x:c r="J61" s="73" t="str">
        <x:v>Measurement and construct-validity mechanism</x:v>
      </x:c>
      <x:c r="K61" s="73" t="str">
        <x:v>AI / scanner mechanism only</x:v>
      </x:c>
      <x:c r="L61" s="73" t="str">
        <x:v>Conference paper</x:v>
      </x:c>
      <x:c r="M61" s="73" t="str">
        <x:v>Conference review</x:v>
      </x:c>
      <x:c r="N61" s="89" t="n">
        <x:v>2021</x:v>
      </x:c>
      <x:c r="O61" s="73" t="str">
        <x:v>Abigail Z. Jacobs and Hanna Wallach</x:v>
      </x:c>
      <x:c r="P61" s="73" t="str">
        <x:v>Measurement and Fairness</x:v>
      </x:c>
      <x:c r="Q61" s="73" t="str">
        <x:v>Proceedings of FAccT</x:v>
      </x:c>
      <x:c r="R61" s="73" t="str">
        <x:v>English</x:v>
      </x:c>
      <x:c r="S61" s="73" t="str">
        <x:v>Fairness fails when a convenient measurable proxy is treated as the real social concept, so construct choice and validation are ethical decisions.</x:v>
      </x:c>
      <x:c r="T61" s="73" t="str">
        <x:v>A general measurement framework, not direct evidence about the #MeToo bibliography.</x:v>
      </x:c>
      <x:c r="U61" s="73" t="str">
        <x:v>Source record verified</x:v>
      </x:c>
      <x:c r="V61" s="73" t="str">
        <x:v>www.doi.org/10.1145/3442188.3445901</x:v>
      </x:c>
      <x:c r="W61" s="73" t="str">
        <x:v>10.1145/3442188.3445901</x:v>
      </x:c>
      <x:c r="X61" s="93" t="n">
        <x:v>46230</x:v>
      </x:c>
      <x:c r="Y61" s="93" t="n">
        <x:v>46230</x:v>
      </x:c>
      <x:c r="Z61" s="73" t="str"/>
      <x:c r="AA61" s="73" t="str"/>
      <x:c r="AB61" s="73" t="n">
        <x:v>56</x:v>
      </x:c>
      <x:c r="AC61" s="73" t="str">
        <x:v>SCANNER MECHANISM</x:v>
      </x:c>
      <x:c r="AD61" s="73" t="str">
        <x:v>MECHANISM / ADJACENT</x:v>
      </x:c>
      <x:c r="AE61" s="73" t="str">
        <x:v>NO</x:v>
      </x:c>
      <x:c r="AF61" s="73" t="str">
        <x:v>Search, labeling, ranking, moderation, alignment, and evaluator bias</x:v>
      </x:c>
      <x:c r="AG61" s="73" t="str">
        <x:v>NOT APPLICABLE</x:v>
      </x:c>
      <x:c r="AH61" s="73" t="str"/>
      <x:c r="AI61" s="73" t="str"/>
      <x:c r="AJ61" s="73" t="str"/>
      <x:c r="AK61" s="73" t="str">
        <x:v>NOT APPLICABLE</x:v>
      </x:c>
      <x:c r="AL61" s="73" t="str"/>
      <x:c r="AM61" s="73" t="str"/>
      <x:c r="AN61" s="73" t="str"/>
      <x:c r="AO61" s="73" t="str"/>
      <x:c r="AP61" s="73" t="str">
        <x:v>Research team</x:v>
      </x:c>
      <x:c r="AQ61" s="73" t="str">
        <x:v>GORGONWARS-PREMISE-1.0</x:v>
      </x:c>
      <x:c r="AR61" s="73" t="str"/>
      <x:c r="AS61" s="82" t="str">
        <x:f>IF(A61="","",IF(OR(E61="NOT APPLICABLE",E61="PREMISES UNRESOLVED"),"N/A",IF(OR(AND(F61&lt;&gt;"NO EVIDENCE",F61&lt;&gt;"NOT APPLICABLE",OR(AG61="",AH61="",AI61="",AJ61="",AG61="SYSTEM INFERENCE",AG61="ABSTRACT ONLY",AG61="SECONDARY REPORT",AG61="UNVERIFIED",AI61="Exact locator needed",AI61="HAU forum framing; exact target locator needed",AI61="Forum exchange; exact locator needed")),AND(G61&lt;&gt;"NO EVIDENCE",G61&lt;&gt;"NOT APPLICABLE",OR(AK61="",AL61="",AM61="",AN61="",AK61="SYSTEM INFERENCE",AK61="ABSTRACT ONLY",AK61="SECONDARY REPORT",AK61="UNVERIFIED",AM61="Exact locator needed",AM61="HAU forum framing; exact target locator needed",AM61="Forum exchange; exact locator needed"))),"EVIDENCE DEBT","READY")))</x:f>
        <x:v>N/A</x:v>
      </x:c>
      <x:c r="AT61" s="74" t="str"/>
    </x:row>
    <x:row r="62" ht="50" customHeight="1">
      <x:c r="A62" s="86" t="n">
        <x:v>57</x:v>
      </x:c>
      <x:c r="B62" s="76" t="str">
        <x:v>Active</x:v>
      </x:c>
      <x:c r="C62" s="90" t="n">
        <x:v>9</x:v>
      </x:c>
      <x:c r="D62" s="82" t="str">
        <x:f>IF(C62="","",IFERROR(VLOOKUP(C62,'Database controls'!$A$5:$B$20,2,FALSE),"NEW / UNCATEGORIZED"))</x:f>
        <x:v>AI ethics, scanner mechanisms, and pluralistic correctives</x:v>
      </x:c>
      <x:c r="E62" s="76" t="str">
        <x:v>NOT APPLICABLE</x:v>
      </x:c>
      <x:c r="F62" s="76" t="str">
        <x:v>NOT APPLICABLE</x:v>
      </x:c>
      <x:c r="G62" s="76" t="str">
        <x:v>NOT APPLICABLE</x:v>
      </x:c>
      <x:c r="H62" s="82" t="str">
        <x:f>IF(A62="","",IF(OR(F62="REJECTS",G62="REJECTS"),"OUTSIDE / EXCOMMUNICABLE",IF(AND(OR(F62="RETAINS",F62="RETAINS WITH QUALIFICATION"),OR(G62="RETAINS",G62="RETAINS WITH QUALIFICATION")),"INTERNAL GORGONWARS",IF(AND(F62="NOT APPLICABLE",G62="NOT APPLICABLE"),"NOT APPLICABLE","PREMISES UNRESOLVED"))))</x:f>
        <x:v>NOT APPLICABLE</x:v>
      </x:c>
      <x:c r="I62" s="82" t="str">
        <x:f>IF(A62="","",IF(E62=H62,"OK",IF(AO62&lt;&gt;"","OVERRIDDEN","REVIEW")))</x:f>
        <x:v>OK</x:v>
      </x:c>
      <x:c r="J62" s="76" t="str">
        <x:v>Power analysis of NLP bias framing</x:v>
      </x:c>
      <x:c r="K62" s="76" t="str">
        <x:v>AI / scanner mechanism only</x:v>
      </x:c>
      <x:c r="L62" s="76" t="str">
        <x:v>Conference paper</x:v>
      </x:c>
      <x:c r="M62" s="76" t="str">
        <x:v>Conference review</x:v>
      </x:c>
      <x:c r="N62" s="90" t="n">
        <x:v>2020</x:v>
      </x:c>
      <x:c r="O62" s="76" t="str">
        <x:v>Su Lin Blodgett, Solon Barocas, Hal Daumé III, and Hanna Wallach</x:v>
      </x:c>
      <x:c r="P62" s="76" t="str">
        <x:v>Language (Technology) Is Power: A Critical Survey of ‘Bias’ in NLP</x:v>
      </x:c>
      <x:c r="Q62" s="76" t="str">
        <x:v>Proceedings of ACL</x:v>
      </x:c>
      <x:c r="R62" s="76" t="str">
        <x:v>English</x:v>
      </x:c>
      <x:c r="S62" s="76" t="str">
        <x:v>NLP bias research always embeds judgments about harm and power, so researchers should state those commitments and involve affected communities.</x:v>
      </x:c>
      <x:c r="T62" s="76" t="str">
        <x:v>A field-level survey and normative framework, not a direct audit of this scanner.</x:v>
      </x:c>
      <x:c r="U62" s="76" t="str">
        <x:v>Source record verified</x:v>
      </x:c>
      <x:c r="V62" s="76" t="str">
        <x:v>www.aclanthology.org/2020.acl-main.485/</x:v>
      </x:c>
      <x:c r="W62" s="76" t="str">
        <x:v>ACL:2020.acl-main.485</x:v>
      </x:c>
      <x:c r="X62" s="94" t="n">
        <x:v>46230</x:v>
      </x:c>
      <x:c r="Y62" s="94" t="n">
        <x:v>46230</x:v>
      </x:c>
      <x:c r="Z62" s="76" t="str"/>
      <x:c r="AA62" s="76" t="str"/>
      <x:c r="AB62" s="76" t="n">
        <x:v>57</x:v>
      </x:c>
      <x:c r="AC62" s="76" t="str">
        <x:v>SCANNER MECHANISM</x:v>
      </x:c>
      <x:c r="AD62" s="76" t="str">
        <x:v>MECHANISM / ADJACENT</x:v>
      </x:c>
      <x:c r="AE62" s="76" t="str">
        <x:v>NO</x:v>
      </x:c>
      <x:c r="AF62" s="76" t="str">
        <x:v>Search, labeling, ranking, moderation, alignment, and evaluator bias</x:v>
      </x:c>
      <x:c r="AG62" s="76" t="str">
        <x:v>NOT APPLICABLE</x:v>
      </x:c>
      <x:c r="AH62" s="76" t="str"/>
      <x:c r="AI62" s="76" t="str"/>
      <x:c r="AJ62" s="76" t="str"/>
      <x:c r="AK62" s="76" t="str">
        <x:v>NOT APPLICABLE</x:v>
      </x:c>
      <x:c r="AL62" s="76" t="str"/>
      <x:c r="AM62" s="76" t="str"/>
      <x:c r="AN62" s="76" t="str"/>
      <x:c r="AO62" s="76" t="str"/>
      <x:c r="AP62" s="76" t="str">
        <x:v>Research team</x:v>
      </x:c>
      <x:c r="AQ62" s="76" t="str">
        <x:v>GORGONWARS-PREMISE-1.0</x:v>
      </x:c>
      <x:c r="AR62" s="76" t="str"/>
      <x:c r="AS62" s="82" t="str">
        <x:f>IF(A62="","",IF(OR(E62="NOT APPLICABLE",E62="PREMISES UNRESOLVED"),"N/A",IF(OR(AND(F62&lt;&gt;"NO EVIDENCE",F62&lt;&gt;"NOT APPLICABLE",OR(AG62="",AH62="",AI62="",AJ62="",AG62="SYSTEM INFERENCE",AG62="ABSTRACT ONLY",AG62="SECONDARY REPORT",AG62="UNVERIFIED",AI62="Exact locator needed",AI62="HAU forum framing; exact target locator needed",AI62="Forum exchange; exact locator needed")),AND(G62&lt;&gt;"NO EVIDENCE",G62&lt;&gt;"NOT APPLICABLE",OR(AK62="",AL62="",AM62="",AN62="",AK62="SYSTEM INFERENCE",AK62="ABSTRACT ONLY",AK62="SECONDARY REPORT",AK62="UNVERIFIED",AM62="Exact locator needed",AM62="HAU forum framing; exact target locator needed",AM62="Forum exchange; exact locator needed"))),"EVIDENCE DEBT","READY")))</x:f>
        <x:v>N/A</x:v>
      </x:c>
      <x:c r="AT62" s="77" t="str"/>
    </x:row>
    <x:row r="63" ht="50" customHeight="1">
      <x:c r="A63" s="85" t="n">
        <x:v>58</x:v>
      </x:c>
      <x:c r="B63" s="73" t="str">
        <x:v>Active</x:v>
      </x:c>
      <x:c r="C63" s="89" t="n">
        <x:v>9</x:v>
      </x:c>
      <x:c r="D63" s="82" t="str">
        <x:f>IF(C63="","",IFERROR(VLOOKUP(C63,'Database controls'!$A$5:$B$20,2,FALSE),"NEW / UNCATEGORIZED"))</x:f>
        <x:v>AI ethics, scanner mechanisms, and pluralistic correctives</x:v>
      </x:c>
      <x:c r="E63" s="73" t="str">
        <x:v>NOT APPLICABLE</x:v>
      </x:c>
      <x:c r="F63" s="73" t="str">
        <x:v>NOT APPLICABLE</x:v>
      </x:c>
      <x:c r="G63" s="73" t="str">
        <x:v>NOT APPLICABLE</x:v>
      </x:c>
      <x:c r="H63" s="82" t="str">
        <x:f>IF(A63="","",IF(OR(F63="REJECTS",G63="REJECTS"),"OUTSIDE / EXCOMMUNICABLE",IF(AND(OR(F63="RETAINS",F63="RETAINS WITH QUALIFICATION"),OR(G63="RETAINS",G63="RETAINS WITH QUALIFICATION")),"INTERNAL GORGONWARS",IF(AND(F63="NOT APPLICABLE",G63="NOT APPLICABLE"),"NOT APPLICABLE","PREMISES UNRESOLVED"))))</x:f>
        <x:v>NOT APPLICABLE</x:v>
      </x:c>
      <x:c r="I63" s="82" t="str">
        <x:f>IF(A63="","",IF(E63=H63,"OK",IF(AO63&lt;&gt;"","OVERRIDDEN","REVIEW")))</x:f>
        <x:v>OK</x:v>
      </x:c>
      <x:c r="J63" s="73" t="str">
        <x:v>Empirical audit of values in machine-learning research</x:v>
      </x:c>
      <x:c r="K63" s="73" t="str">
        <x:v>AI / scanner mechanism only</x:v>
      </x:c>
      <x:c r="L63" s="73" t="str">
        <x:v>Conference paper</x:v>
      </x:c>
      <x:c r="M63" s="73" t="str">
        <x:v>Conference review</x:v>
      </x:c>
      <x:c r="N63" s="89" t="n">
        <x:v>2022</x:v>
      </x:c>
      <x:c r="O63" s="73" t="str">
        <x:v>Abeba Birhane and colleagues</x:v>
      </x:c>
      <x:c r="P63" s="73" t="str">
        <x:v>The Values Encoded in Machine Learning Research</x:v>
      </x:c>
      <x:c r="Q63" s="73" t="str">
        <x:v>Proceedings of FAccT</x:v>
      </x:c>
      <x:c r="R63" s="73" t="str">
        <x:v>English</x:v>
      </x:c>
      <x:c r="S63" s="73" t="str">
        <x:v>Influential machine-learning papers repeatedly reward performance, scale, and novelty while sidelining social needs, showing that the field encodes institutional values.</x:v>
      </x:c>
      <x:c r="T63" s="73" t="str">
        <x:v>Audits ML research culture broadly, not #MeToo retrieval specifically.</x:v>
      </x:c>
      <x:c r="U63" s="73" t="str">
        <x:v>Source record verified</x:v>
      </x:c>
      <x:c r="V63" s="73" t="str">
        <x:v>www.doi.org/10.1145/3531146.3533083</x:v>
      </x:c>
      <x:c r="W63" s="73" t="str">
        <x:v>10.1145/3531146.3533083</x:v>
      </x:c>
      <x:c r="X63" s="93" t="n">
        <x:v>46230</x:v>
      </x:c>
      <x:c r="Y63" s="93" t="n">
        <x:v>46230</x:v>
      </x:c>
      <x:c r="Z63" s="73" t="str"/>
      <x:c r="AA63" s="73" t="str"/>
      <x:c r="AB63" s="73" t="n">
        <x:v>58</x:v>
      </x:c>
      <x:c r="AC63" s="73" t="str">
        <x:v>SCANNER MECHANISM</x:v>
      </x:c>
      <x:c r="AD63" s="73" t="str">
        <x:v>MECHANISM / ADJACENT</x:v>
      </x:c>
      <x:c r="AE63" s="73" t="str">
        <x:v>NO</x:v>
      </x:c>
      <x:c r="AF63" s="73" t="str">
        <x:v>Search, labeling, ranking, moderation, alignment, and evaluator bias</x:v>
      </x:c>
      <x:c r="AG63" s="73" t="str">
        <x:v>NOT APPLICABLE</x:v>
      </x:c>
      <x:c r="AH63" s="73" t="str"/>
      <x:c r="AI63" s="73" t="str"/>
      <x:c r="AJ63" s="73" t="str"/>
      <x:c r="AK63" s="73" t="str">
        <x:v>NOT APPLICABLE</x:v>
      </x:c>
      <x:c r="AL63" s="73" t="str"/>
      <x:c r="AM63" s="73" t="str"/>
      <x:c r="AN63" s="73" t="str"/>
      <x:c r="AO63" s="73" t="str"/>
      <x:c r="AP63" s="73" t="str">
        <x:v>Research team</x:v>
      </x:c>
      <x:c r="AQ63" s="73" t="str">
        <x:v>GORGONWARS-PREMISE-1.0</x:v>
      </x:c>
      <x:c r="AR63" s="73" t="str"/>
      <x:c r="AS63" s="82" t="str">
        <x:f>IF(A63="","",IF(OR(E63="NOT APPLICABLE",E63="PREMISES UNRESOLVED"),"N/A",IF(OR(AND(F63&lt;&gt;"NO EVIDENCE",F63&lt;&gt;"NOT APPLICABLE",OR(AG63="",AH63="",AI63="",AJ63="",AG63="SYSTEM INFERENCE",AG63="ABSTRACT ONLY",AG63="SECONDARY REPORT",AG63="UNVERIFIED",AI63="Exact locator needed",AI63="HAU forum framing; exact target locator needed",AI63="Forum exchange; exact locator needed")),AND(G63&lt;&gt;"NO EVIDENCE",G63&lt;&gt;"NOT APPLICABLE",OR(AK63="",AL63="",AM63="",AN63="",AK63="SYSTEM INFERENCE",AK63="ABSTRACT ONLY",AK63="SECONDARY REPORT",AK63="UNVERIFIED",AM63="Exact locator needed",AM63="HAU forum framing; exact target locator needed",AM63="Forum exchange; exact locator needed"))),"EVIDENCE DEBT","READY")))</x:f>
        <x:v>N/A</x:v>
      </x:c>
      <x:c r="AT63" s="74" t="str"/>
    </x:row>
    <x:row r="64" ht="50" customHeight="1">
      <x:c r="A64" s="86" t="n">
        <x:v>59</x:v>
      </x:c>
      <x:c r="B64" s="76" t="str">
        <x:v>Active</x:v>
      </x:c>
      <x:c r="C64" s="90" t="n">
        <x:v>9</x:v>
      </x:c>
      <x:c r="D64" s="82" t="str">
        <x:f>IF(C64="","",IFERROR(VLOOKUP(C64,'Database controls'!$A$5:$B$20,2,FALSE),"NEW / UNCATEGORIZED"))</x:f>
        <x:v>AI ethics, scanner mechanisms, and pluralistic correctives</x:v>
      </x:c>
      <x:c r="E64" s="76" t="str">
        <x:v>NOT APPLICABLE</x:v>
      </x:c>
      <x:c r="F64" s="76" t="str">
        <x:v>NOT APPLICABLE</x:v>
      </x:c>
      <x:c r="G64" s="76" t="str">
        <x:v>NOT APPLICABLE</x:v>
      </x:c>
      <x:c r="H64" s="82" t="str">
        <x:f>IF(A64="","",IF(OR(F64="REJECTS",G64="REJECTS"),"OUTSIDE / EXCOMMUNICABLE",IF(AND(OR(F64="RETAINS",F64="RETAINS WITH QUALIFICATION"),OR(G64="RETAINS",G64="RETAINS WITH QUALIFICATION")),"INTERNAL GORGONWARS",IF(AND(F64="NOT APPLICABLE",G64="NOT APPLICABLE"),"NOT APPLICABLE","PREMISES UNRESOLVED"))))</x:f>
        <x:v>NOT APPLICABLE</x:v>
      </x:c>
      <x:c r="I64" s="82" t="str">
        <x:f>IF(A64="","",IF(E64=H64,"OK",IF(AO64&lt;&gt;"","OVERRIDDEN","REVIEW")))</x:f>
        <x:v>OK</x:v>
      </x:c>
      <x:c r="J64" s="76" t="str">
        <x:v>Information-retrieval bias mechanism</x:v>
      </x:c>
      <x:c r="K64" s="76" t="str">
        <x:v>AI / scanner mechanism only</x:v>
      </x:c>
      <x:c r="L64" s="76" t="str">
        <x:v>Conference paper</x:v>
      </x:c>
      <x:c r="M64" s="76" t="str">
        <x:v>Conference review</x:v>
      </x:c>
      <x:c r="N64" s="90" t="n">
        <x:v>2021</x:v>
      </x:c>
      <x:c r="O64" s="76" t="str">
        <x:v>Navid Rekabsaz, Simone Kopeinik, and Markus Schedl</x:v>
      </x:c>
      <x:c r="P64" s="76" t="str">
        <x:v>Societal Biases in Retrieved Contents: Measurement Framework and Adversarial Mitigation of BERT Rankers</x:v>
      </x:c>
      <x:c r="Q64" s="76" t="str">
        <x:v>Proceedings of SIGIR</x:v>
      </x:c>
      <x:c r="R64" s="76" t="str">
        <x:v>English</x:v>
      </x:c>
      <x:c r="S64" s="76" t="str">
        <x:v>Search bias can enter through both the collection and the ranking system, and rankers can amplify disparities already present in indexed material.</x:v>
      </x:c>
      <x:c r="T64" s="76" t="str">
        <x:v>A general retrieval study; applying it to the #MeToo scan requires scanner-specific diagnostics.</x:v>
      </x:c>
      <x:c r="U64" s="76" t="str">
        <x:v>Source record verified</x:v>
      </x:c>
      <x:c r="V64" s="76" t="str">
        <x:v>www.doi.org/10.1145/3404835.3462949</x:v>
      </x:c>
      <x:c r="W64" s="76" t="str">
        <x:v>10.1145/3404835.3462949</x:v>
      </x:c>
      <x:c r="X64" s="94" t="n">
        <x:v>46230</x:v>
      </x:c>
      <x:c r="Y64" s="94" t="n">
        <x:v>46230</x:v>
      </x:c>
      <x:c r="Z64" s="76" t="str"/>
      <x:c r="AA64" s="76" t="str"/>
      <x:c r="AB64" s="76" t="n">
        <x:v>59</x:v>
      </x:c>
      <x:c r="AC64" s="76" t="str">
        <x:v>SCANNER MECHANISM</x:v>
      </x:c>
      <x:c r="AD64" s="76" t="str">
        <x:v>MECHANISM / ADJACENT</x:v>
      </x:c>
      <x:c r="AE64" s="76" t="str">
        <x:v>NO</x:v>
      </x:c>
      <x:c r="AF64" s="76" t="str">
        <x:v>Search, labeling, ranking, moderation, alignment, and evaluator bias</x:v>
      </x:c>
      <x:c r="AG64" s="76" t="str">
        <x:v>NOT APPLICABLE</x:v>
      </x:c>
      <x:c r="AH64" s="76" t="str"/>
      <x:c r="AI64" s="76" t="str"/>
      <x:c r="AJ64" s="76" t="str"/>
      <x:c r="AK64" s="76" t="str">
        <x:v>NOT APPLICABLE</x:v>
      </x:c>
      <x:c r="AL64" s="76" t="str"/>
      <x:c r="AM64" s="76" t="str"/>
      <x:c r="AN64" s="76" t="str"/>
      <x:c r="AO64" s="76" t="str"/>
      <x:c r="AP64" s="76" t="str">
        <x:v>Research team</x:v>
      </x:c>
      <x:c r="AQ64" s="76" t="str">
        <x:v>GORGONWARS-PREMISE-1.0</x:v>
      </x:c>
      <x:c r="AR64" s="76" t="str"/>
      <x:c r="AS64" s="82" t="str">
        <x:f>IF(A64="","",IF(OR(E64="NOT APPLICABLE",E64="PREMISES UNRESOLVED"),"N/A",IF(OR(AND(F64&lt;&gt;"NO EVIDENCE",F64&lt;&gt;"NOT APPLICABLE",OR(AG64="",AH64="",AI64="",AJ64="",AG64="SYSTEM INFERENCE",AG64="ABSTRACT ONLY",AG64="SECONDARY REPORT",AG64="UNVERIFIED",AI64="Exact locator needed",AI64="HAU forum framing; exact target locator needed",AI64="Forum exchange; exact locator needed")),AND(G64&lt;&gt;"NO EVIDENCE",G64&lt;&gt;"NOT APPLICABLE",OR(AK64="",AL64="",AM64="",AN64="",AK64="SYSTEM INFERENCE",AK64="ABSTRACT ONLY",AK64="SECONDARY REPORT",AK64="UNVERIFIED",AM64="Exact locator needed",AM64="HAU forum framing; exact target locator needed",AM64="Forum exchange; exact locator needed"))),"EVIDENCE DEBT","READY")))</x:f>
        <x:v>N/A</x:v>
      </x:c>
      <x:c r="AT64" s="77" t="str"/>
    </x:row>
    <x:row r="65" ht="50" customHeight="1">
      <x:c r="A65" s="85" t="n">
        <x:v>60</x:v>
      </x:c>
      <x:c r="B65" s="73" t="str">
        <x:v>Active</x:v>
      </x:c>
      <x:c r="C65" s="89" t="n">
        <x:v>9</x:v>
      </x:c>
      <x:c r="D65" s="82" t="str">
        <x:f>IF(C65="","",IFERROR(VLOOKUP(C65,'Database controls'!$A$5:$B$20,2,FALSE),"NEW / UNCATEGORIZED"))</x:f>
        <x:v>AI ethics, scanner mechanisms, and pluralistic correctives</x:v>
      </x:c>
      <x:c r="E65" s="73" t="str">
        <x:v>NOT APPLICABLE</x:v>
      </x:c>
      <x:c r="F65" s="73" t="str">
        <x:v>NOT APPLICABLE</x:v>
      </x:c>
      <x:c r="G65" s="73" t="str">
        <x:v>NOT APPLICABLE</x:v>
      </x:c>
      <x:c r="H65" s="82" t="str">
        <x:f>IF(A65="","",IF(OR(F65="REJECTS",G65="REJECTS"),"OUTSIDE / EXCOMMUNICABLE",IF(AND(OR(F65="RETAINS",F65="RETAINS WITH QUALIFICATION"),OR(G65="RETAINS",G65="RETAINS WITH QUALIFICATION")),"INTERNAL GORGONWARS",IF(AND(F65="NOT APPLICABLE",G65="NOT APPLICABLE"),"NOT APPLICABLE","PREMISES UNRESOLVED"))))</x:f>
        <x:v>NOT APPLICABLE</x:v>
      </x:c>
      <x:c r="I65" s="82" t="str">
        <x:f>IF(A65="","",IF(E65=H65,"OK",IF(AO65&lt;&gt;"","OVERRIDDEN","REVIEW")))</x:f>
        <x:v>OK</x:v>
      </x:c>
      <x:c r="J65" s="73" t="str">
        <x:v>Annotation ontology and labor-power mechanism</x:v>
      </x:c>
      <x:c r="K65" s="73" t="str">
        <x:v>AI / scanner mechanism only</x:v>
      </x:c>
      <x:c r="L65" s="73" t="str">
        <x:v>Conference paper</x:v>
      </x:c>
      <x:c r="M65" s="73" t="str">
        <x:v>Conference review</x:v>
      </x:c>
      <x:c r="N65" s="89" t="n">
        <x:v>2020</x:v>
      </x:c>
      <x:c r="O65" s="73" t="str">
        <x:v>Milagros Miceli, Martin Schuessler, and Tianling Yang</x:v>
      </x:c>
      <x:c r="P65" s="73" t="str">
        <x:v>Between Subjectivity and Imposition: Power Dynamics in Data Annotation for Computer Vision</x:v>
      </x:c>
      <x:c r="Q65" s="73" t="str">
        <x:v>Proceedings of the ACM on Human-Computer Interaction</x:v>
      </x:c>
      <x:c r="R65" s="73" t="str">
        <x:v>English</x:v>
      </x:c>
      <x:c r="S65" s="73" t="str">
        <x:v>Training labels are shaped by clients’ categories, instructions, and labor power, so annotation can impose an ontology rather than neutrally discover truth.</x:v>
      </x:c>
      <x:c r="T65" s="73" t="str">
        <x:v>A computer-vision annotation study used as a general mechanism analogy.</x:v>
      </x:c>
      <x:c r="U65" s="73" t="str">
        <x:v>Source record verified</x:v>
      </x:c>
      <x:c r="V65" s="73" t="str">
        <x:v>www.doi.org/10.1145/3415186</x:v>
      </x:c>
      <x:c r="W65" s="73" t="str">
        <x:v>10.1145/3415186</x:v>
      </x:c>
      <x:c r="X65" s="93" t="n">
        <x:v>46230</x:v>
      </x:c>
      <x:c r="Y65" s="93" t="n">
        <x:v>46230</x:v>
      </x:c>
      <x:c r="Z65" s="73" t="str"/>
      <x:c r="AA65" s="73" t="str"/>
      <x:c r="AB65" s="73" t="n">
        <x:v>60</x:v>
      </x:c>
      <x:c r="AC65" s="73" t="str">
        <x:v>SCANNER MECHANISM</x:v>
      </x:c>
      <x:c r="AD65" s="73" t="str">
        <x:v>MECHANISM / ADJACENT</x:v>
      </x:c>
      <x:c r="AE65" s="73" t="str">
        <x:v>NO</x:v>
      </x:c>
      <x:c r="AF65" s="73" t="str">
        <x:v>Search, labeling, ranking, moderation, alignment, and evaluator bias</x:v>
      </x:c>
      <x:c r="AG65" s="73" t="str">
        <x:v>NOT APPLICABLE</x:v>
      </x:c>
      <x:c r="AH65" s="73" t="str"/>
      <x:c r="AI65" s="73" t="str"/>
      <x:c r="AJ65" s="73" t="str"/>
      <x:c r="AK65" s="73" t="str">
        <x:v>NOT APPLICABLE</x:v>
      </x:c>
      <x:c r="AL65" s="73" t="str"/>
      <x:c r="AM65" s="73" t="str"/>
      <x:c r="AN65" s="73" t="str"/>
      <x:c r="AO65" s="73" t="str"/>
      <x:c r="AP65" s="73" t="str">
        <x:v>Research team</x:v>
      </x:c>
      <x:c r="AQ65" s="73" t="str">
        <x:v>GORGONWARS-PREMISE-1.0</x:v>
      </x:c>
      <x:c r="AR65" s="73" t="str"/>
      <x:c r="AS65" s="82" t="str">
        <x:f>IF(A65="","",IF(OR(E65="NOT APPLICABLE",E65="PREMISES UNRESOLVED"),"N/A",IF(OR(AND(F65&lt;&gt;"NO EVIDENCE",F65&lt;&gt;"NOT APPLICABLE",OR(AG65="",AH65="",AI65="",AJ65="",AG65="SYSTEM INFERENCE",AG65="ABSTRACT ONLY",AG65="SECONDARY REPORT",AG65="UNVERIFIED",AI65="Exact locator needed",AI65="HAU forum framing; exact target locator needed",AI65="Forum exchange; exact locator needed")),AND(G65&lt;&gt;"NO EVIDENCE",G65&lt;&gt;"NOT APPLICABLE",OR(AK65="",AL65="",AM65="",AN65="",AK65="SYSTEM INFERENCE",AK65="ABSTRACT ONLY",AK65="SECONDARY REPORT",AK65="UNVERIFIED",AM65="Exact locator needed",AM65="HAU forum framing; exact target locator needed",AM65="Forum exchange; exact locator needed"))),"EVIDENCE DEBT","READY")))</x:f>
        <x:v>N/A</x:v>
      </x:c>
      <x:c r="AT65" s="74" t="str"/>
    </x:row>
    <x:row r="66" ht="50" customHeight="1">
      <x:c r="A66" s="86" t="n">
        <x:v>61</x:v>
      </x:c>
      <x:c r="B66" s="76" t="str">
        <x:v>Active</x:v>
      </x:c>
      <x:c r="C66" s="90" t="n">
        <x:v>9</x:v>
      </x:c>
      <x:c r="D66" s="82" t="str">
        <x:f>IF(C66="","",IFERROR(VLOOKUP(C66,'Database controls'!$A$5:$B$20,2,FALSE),"NEW / UNCATEGORIZED"))</x:f>
        <x:v>AI ethics, scanner mechanisms, and pluralistic correctives</x:v>
      </x:c>
      <x:c r="E66" s="76" t="str">
        <x:v>NOT APPLICABLE</x:v>
      </x:c>
      <x:c r="F66" s="76" t="str">
        <x:v>NOT APPLICABLE</x:v>
      </x:c>
      <x:c r="G66" s="76" t="str">
        <x:v>NOT APPLICABLE</x:v>
      </x:c>
      <x:c r="H66" s="82" t="str">
        <x:f>IF(A66="","",IF(OR(F66="REJECTS",G66="REJECTS"),"OUTSIDE / EXCOMMUNICABLE",IF(AND(OR(F66="RETAINS",F66="RETAINS WITH QUALIFICATION"),OR(G66="RETAINS",G66="RETAINS WITH QUALIFICATION")),"INTERNAL GORGONWARS",IF(AND(F66="NOT APPLICABLE",G66="NOT APPLICABLE"),"NOT APPLICABLE","PREMISES UNRESOLVED"))))</x:f>
        <x:v>NOT APPLICABLE</x:v>
      </x:c>
      <x:c r="I66" s="82" t="str">
        <x:f>IF(A66="","",IF(E66=H66,"OK",IF(AO66&lt;&gt;"","OVERRIDDEN","REVIEW")))</x:f>
        <x:v>OK</x:v>
      </x:c>
      <x:c r="J66" s="76" t="str">
        <x:v>Annotator-perspective mechanism</x:v>
      </x:c>
      <x:c r="K66" s="76" t="str">
        <x:v>AI / scanner mechanism only</x:v>
      </x:c>
      <x:c r="L66" s="76" t="str">
        <x:v>Conference paper</x:v>
      </x:c>
      <x:c r="M66" s="76" t="str">
        <x:v>Conference review</x:v>
      </x:c>
      <x:c r="N66" s="90" t="n">
        <x:v>2022</x:v>
      </x:c>
      <x:c r="O66" s="76" t="str">
        <x:v>Maarten Sap and colleagues</x:v>
      </x:c>
      <x:c r="P66" s="76" t="str">
        <x:v>Annotators with Attitudes: How Annotator Beliefs And Identities Bias Toxic Language Detection</x:v>
      </x:c>
      <x:c r="Q66" s="76" t="str">
        <x:v>Proceedings of NAACL</x:v>
      </x:c>
      <x:c r="R66" s="76" t="str">
        <x:v>English</x:v>
      </x:c>
      <x:c r="S66" s="76" t="str">
        <x:v>Annotators’ identities and beliefs systematically affect toxicity judgments, and models trained on aggregated labels can inherit those perspectives.</x:v>
      </x:c>
      <x:c r="T66" s="76" t="str">
        <x:v>Demonstrates subjectivity in toxicity annotation, not the exact causal history of the #MeToo scanner.</x:v>
      </x:c>
      <x:c r="U66" s="76" t="str">
        <x:v>Source record verified</x:v>
      </x:c>
      <x:c r="V66" s="76" t="str">
        <x:v>www.aclanthology.org/2022.naacl-main.431/</x:v>
      </x:c>
      <x:c r="W66" s="76" t="str">
        <x:v>ACL:2022.naacl-main.431</x:v>
      </x:c>
      <x:c r="X66" s="94" t="n">
        <x:v>46230</x:v>
      </x:c>
      <x:c r="Y66" s="94" t="n">
        <x:v>46230</x:v>
      </x:c>
      <x:c r="Z66" s="76" t="str"/>
      <x:c r="AA66" s="76" t="str"/>
      <x:c r="AB66" s="76" t="n">
        <x:v>61</x:v>
      </x:c>
      <x:c r="AC66" s="76" t="str">
        <x:v>SCANNER MECHANISM</x:v>
      </x:c>
      <x:c r="AD66" s="76" t="str">
        <x:v>MECHANISM / ADJACENT</x:v>
      </x:c>
      <x:c r="AE66" s="76" t="str">
        <x:v>NO</x:v>
      </x:c>
      <x:c r="AF66" s="76" t="str">
        <x:v>Search, labeling, ranking, moderation, alignment, and evaluator bias</x:v>
      </x:c>
      <x:c r="AG66" s="76" t="str">
        <x:v>NOT APPLICABLE</x:v>
      </x:c>
      <x:c r="AH66" s="76" t="str"/>
      <x:c r="AI66" s="76" t="str"/>
      <x:c r="AJ66" s="76" t="str"/>
      <x:c r="AK66" s="76" t="str">
        <x:v>NOT APPLICABLE</x:v>
      </x:c>
      <x:c r="AL66" s="76" t="str"/>
      <x:c r="AM66" s="76" t="str"/>
      <x:c r="AN66" s="76" t="str"/>
      <x:c r="AO66" s="76" t="str"/>
      <x:c r="AP66" s="76" t="str">
        <x:v>Research team</x:v>
      </x:c>
      <x:c r="AQ66" s="76" t="str">
        <x:v>GORGONWARS-PREMISE-1.0</x:v>
      </x:c>
      <x:c r="AR66" s="76" t="str"/>
      <x:c r="AS66" s="82" t="str">
        <x:f>IF(A66="","",IF(OR(E66="NOT APPLICABLE",E66="PREMISES UNRESOLVED"),"N/A",IF(OR(AND(F66&lt;&gt;"NO EVIDENCE",F66&lt;&gt;"NOT APPLICABLE",OR(AG66="",AH66="",AI66="",AJ66="",AG66="SYSTEM INFERENCE",AG66="ABSTRACT ONLY",AG66="SECONDARY REPORT",AG66="UNVERIFIED",AI66="Exact locator needed",AI66="HAU forum framing; exact target locator needed",AI66="Forum exchange; exact locator needed")),AND(G66&lt;&gt;"NO EVIDENCE",G66&lt;&gt;"NOT APPLICABLE",OR(AK66="",AL66="",AM66="",AN66="",AK66="SYSTEM INFERENCE",AK66="ABSTRACT ONLY",AK66="SECONDARY REPORT",AK66="UNVERIFIED",AM66="Exact locator needed",AM66="HAU forum framing; exact target locator needed",AM66="Forum exchange; exact locator needed"))),"EVIDENCE DEBT","READY")))</x:f>
        <x:v>N/A</x:v>
      </x:c>
      <x:c r="AT66" s="77" t="str"/>
    </x:row>
    <x:row r="67" ht="50" customHeight="1">
      <x:c r="A67" s="85" t="n">
        <x:v>62</x:v>
      </x:c>
      <x:c r="B67" s="73" t="str">
        <x:v>Active</x:v>
      </x:c>
      <x:c r="C67" s="89" t="n">
        <x:v>9</x:v>
      </x:c>
      <x:c r="D67" s="82" t="str">
        <x:f>IF(C67="","",IFERROR(VLOOKUP(C67,'Database controls'!$A$5:$B$20,2,FALSE),"NEW / UNCATEGORIZED"))</x:f>
        <x:v>AI ethics, scanner mechanisms, and pluralistic correctives</x:v>
      </x:c>
      <x:c r="E67" s="73" t="str">
        <x:v>NOT APPLICABLE</x:v>
      </x:c>
      <x:c r="F67" s="73" t="str">
        <x:v>NOT APPLICABLE</x:v>
      </x:c>
      <x:c r="G67" s="73" t="str">
        <x:v>NOT APPLICABLE</x:v>
      </x:c>
      <x:c r="H67" s="82" t="str">
        <x:f>IF(A67="","",IF(OR(F67="REJECTS",G67="REJECTS"),"OUTSIDE / EXCOMMUNICABLE",IF(AND(OR(F67="RETAINS",F67="RETAINS WITH QUALIFICATION"),OR(G67="RETAINS",G67="RETAINS WITH QUALIFICATION")),"INTERNAL GORGONWARS",IF(AND(F67="NOT APPLICABLE",G67="NOT APPLICABLE"),"NOT APPLICABLE","PREMISES UNRESOLVED"))))</x:f>
        <x:v>NOT APPLICABLE</x:v>
      </x:c>
      <x:c r="I67" s="82" t="str">
        <x:f>IF(A67="","",IF(E67=H67,"OK",IF(AO67&lt;&gt;"","OVERRIDDEN","REVIEW")))</x:f>
        <x:v>OK</x:v>
      </x:c>
      <x:c r="J67" s="73" t="str">
        <x:v>Disagreement-preserving modeling corrective</x:v>
      </x:c>
      <x:c r="K67" s="73" t="str">
        <x:v>AI / scanner mechanism only</x:v>
      </x:c>
      <x:c r="L67" s="73" t="str">
        <x:v>Peer-reviewed journal article</x:v>
      </x:c>
      <x:c r="M67" s="73" t="str">
        <x:v>Peer-reviewed</x:v>
      </x:c>
      <x:c r="N67" s="89" t="n">
        <x:v>2022</x:v>
      </x:c>
      <x:c r="O67" s="73" t="str">
        <x:v>Aida Mostafazadeh Davani, Mark Díaz, and Vinodkumar Prabhakaran</x:v>
      </x:c>
      <x:c r="P67" s="73" t="str">
        <x:v>Dealing with Disagreements: Looking Beyond the Majority Vote in Subjective Annotations</x:v>
      </x:c>
      <x:c r="Q67" s="73" t="str">
        <x:v>Transactions of the Association for Computational Linguistics</x:v>
      </x:c>
      <x:c r="R67" s="73" t="str">
        <x:v>English</x:v>
      </x:c>
      <x:c r="S67" s="73" t="str">
        <x:v>Majority labels erase structured moral disagreement, while multi-annotator models preserve distinct perspectives instead of treating dissent as noise.</x:v>
      </x:c>
      <x:c r="T67" s="73" t="str">
        <x:v>Offers a modeling method, not proof that every disagreement is equally informed or ethically acceptable.</x:v>
      </x:c>
      <x:c r="U67" s="73" t="str">
        <x:v>Source record verified</x:v>
      </x:c>
      <x:c r="V67" s="73" t="str">
        <x:v>www.aclanthology.org/2022.tacl-1.6/</x:v>
      </x:c>
      <x:c r="W67" s="73" t="str">
        <x:v>ACL:2022.tacl-1.6</x:v>
      </x:c>
      <x:c r="X67" s="93" t="n">
        <x:v>46230</x:v>
      </x:c>
      <x:c r="Y67" s="93" t="n">
        <x:v>46230</x:v>
      </x:c>
      <x:c r="Z67" s="73" t="str"/>
      <x:c r="AA67" s="73" t="str"/>
      <x:c r="AB67" s="73" t="n">
        <x:v>62</x:v>
      </x:c>
      <x:c r="AC67" s="73" t="str">
        <x:v>SCANNER MECHANISM</x:v>
      </x:c>
      <x:c r="AD67" s="73" t="str">
        <x:v>MECHANISM / ADJACENT</x:v>
      </x:c>
      <x:c r="AE67" s="73" t="str">
        <x:v>NO</x:v>
      </x:c>
      <x:c r="AF67" s="73" t="str">
        <x:v>Search, labeling, ranking, moderation, alignment, and evaluator bias</x:v>
      </x:c>
      <x:c r="AG67" s="73" t="str">
        <x:v>NOT APPLICABLE</x:v>
      </x:c>
      <x:c r="AH67" s="73" t="str"/>
      <x:c r="AI67" s="73" t="str"/>
      <x:c r="AJ67" s="73" t="str"/>
      <x:c r="AK67" s="73" t="str">
        <x:v>NOT APPLICABLE</x:v>
      </x:c>
      <x:c r="AL67" s="73" t="str"/>
      <x:c r="AM67" s="73" t="str"/>
      <x:c r="AN67" s="73" t="str"/>
      <x:c r="AO67" s="73" t="str"/>
      <x:c r="AP67" s="73" t="str">
        <x:v>Research team</x:v>
      </x:c>
      <x:c r="AQ67" s="73" t="str">
        <x:v>GORGONWARS-PREMISE-1.0</x:v>
      </x:c>
      <x:c r="AR67" s="73" t="str"/>
      <x:c r="AS67" s="82" t="str">
        <x:f>IF(A67="","",IF(OR(E67="NOT APPLICABLE",E67="PREMISES UNRESOLVED"),"N/A",IF(OR(AND(F67&lt;&gt;"NO EVIDENCE",F67&lt;&gt;"NOT APPLICABLE",OR(AG67="",AH67="",AI67="",AJ67="",AG67="SYSTEM INFERENCE",AG67="ABSTRACT ONLY",AG67="SECONDARY REPORT",AG67="UNVERIFIED",AI67="Exact locator needed",AI67="HAU forum framing; exact target locator needed",AI67="Forum exchange; exact locator needed")),AND(G67&lt;&gt;"NO EVIDENCE",G67&lt;&gt;"NOT APPLICABLE",OR(AK67="",AL67="",AM67="",AN67="",AK67="SYSTEM INFERENCE",AK67="ABSTRACT ONLY",AK67="SECONDARY REPORT",AK67="UNVERIFIED",AM67="Exact locator needed",AM67="HAU forum framing; exact target locator needed",AM67="Forum exchange; exact locator needed"))),"EVIDENCE DEBT","READY")))</x:f>
        <x:v>N/A</x:v>
      </x:c>
      <x:c r="AT67" s="74" t="str"/>
    </x:row>
    <x:row r="68" ht="50" customHeight="1">
      <x:c r="A68" s="86" t="n">
        <x:v>63</x:v>
      </x:c>
      <x:c r="B68" s="76" t="str">
        <x:v>Active</x:v>
      </x:c>
      <x:c r="C68" s="90" t="n">
        <x:v>9</x:v>
      </x:c>
      <x:c r="D68" s="82" t="str">
        <x:f>IF(C68="","",IFERROR(VLOOKUP(C68,'Database controls'!$A$5:$B$20,2,FALSE),"NEW / UNCATEGORIZED"))</x:f>
        <x:v>AI ethics, scanner mechanisms, and pluralistic correctives</x:v>
      </x:c>
      <x:c r="E68" s="76" t="str">
        <x:v>NOT APPLICABLE</x:v>
      </x:c>
      <x:c r="F68" s="76" t="str">
        <x:v>NOT APPLICABLE</x:v>
      </x:c>
      <x:c r="G68" s="76" t="str">
        <x:v>NOT APPLICABLE</x:v>
      </x:c>
      <x:c r="H68" s="82" t="str">
        <x:f>IF(A68="","",IF(OR(F68="REJECTS",G68="REJECTS"),"OUTSIDE / EXCOMMUNICABLE",IF(AND(OR(F68="RETAINS",F68="RETAINS WITH QUALIFICATION"),OR(G68="RETAINS",G68="RETAINS WITH QUALIFICATION")),"INTERNAL GORGONWARS",IF(AND(F68="NOT APPLICABLE",G68="NOT APPLICABLE"),"NOT APPLICABLE","PREMISES UNRESOLVED"))))</x:f>
        <x:v>NOT APPLICABLE</x:v>
      </x:c>
      <x:c r="I68" s="82" t="str">
        <x:f>IF(A68="","",IF(E68=H68,"OK",IF(AO68&lt;&gt;"","OVERRIDDEN","REVIEW")))</x:f>
        <x:v>OK</x:v>
      </x:c>
      <x:c r="J68" s="76" t="str">
        <x:v>Target-group-aware harm modeling corrective</x:v>
      </x:c>
      <x:c r="K68" s="76" t="str">
        <x:v>AI / scanner mechanism only</x:v>
      </x:c>
      <x:c r="L68" s="76" t="str">
        <x:v>Conference paper</x:v>
      </x:c>
      <x:c r="M68" s="76" t="str">
        <x:v>Conference review</x:v>
      </x:c>
      <x:c r="N68" s="90" t="n">
        <x:v>2023</x:v>
      </x:c>
      <x:c r="O68" s="76" t="str">
        <x:v>Eve Fleisig, Rediet Abebe, and Dan Klein</x:v>
      </x:c>
      <x:c r="P68" s="76" t="str">
        <x:v>When the Majority Is Wrong: Modeling Annotator Disagreement for Subjective Tasks</x:v>
      </x:c>
      <x:c r="Q68" s="76" t="str">
        <x:v>Proceedings of EMNLP</x:v>
      </x:c>
      <x:c r="R68" s="76" t="str">
        <x:v>English</x:v>
      </x:c>
      <x:c r="S68" s="76" t="str">
        <x:v>For subjective harms, the people targeted by the content can judge its harm differently from majorities, so systems can model target-group assessments directly.</x:v>
      </x:c>
      <x:c r="T68" s="76" t="str">
        <x:v>Supports group-sensitive analysis but does not make target-group judgments infallible.</x:v>
      </x:c>
      <x:c r="U68" s="76" t="str">
        <x:v>Source record verified</x:v>
      </x:c>
      <x:c r="V68" s="76" t="str">
        <x:v>www.aclanthology.org/2023.emnlp-main.415/</x:v>
      </x:c>
      <x:c r="W68" s="76" t="str">
        <x:v>ACL:2023.emnlp-main.415</x:v>
      </x:c>
      <x:c r="X68" s="94" t="n">
        <x:v>46230</x:v>
      </x:c>
      <x:c r="Y68" s="94" t="n">
        <x:v>46230</x:v>
      </x:c>
      <x:c r="Z68" s="76" t="str"/>
      <x:c r="AA68" s="76" t="str"/>
      <x:c r="AB68" s="76" t="n">
        <x:v>63</x:v>
      </x:c>
      <x:c r="AC68" s="76" t="str">
        <x:v>SCANNER MECHANISM</x:v>
      </x:c>
      <x:c r="AD68" s="76" t="str">
        <x:v>MECHANISM / ADJACENT</x:v>
      </x:c>
      <x:c r="AE68" s="76" t="str">
        <x:v>NO</x:v>
      </x:c>
      <x:c r="AF68" s="76" t="str">
        <x:v>Search, labeling, ranking, moderation, alignment, and evaluator bias</x:v>
      </x:c>
      <x:c r="AG68" s="76" t="str">
        <x:v>NOT APPLICABLE</x:v>
      </x:c>
      <x:c r="AH68" s="76" t="str"/>
      <x:c r="AI68" s="76" t="str"/>
      <x:c r="AJ68" s="76" t="str"/>
      <x:c r="AK68" s="76" t="str">
        <x:v>NOT APPLICABLE</x:v>
      </x:c>
      <x:c r="AL68" s="76" t="str"/>
      <x:c r="AM68" s="76" t="str"/>
      <x:c r="AN68" s="76" t="str"/>
      <x:c r="AO68" s="76" t="str"/>
      <x:c r="AP68" s="76" t="str">
        <x:v>Research team</x:v>
      </x:c>
      <x:c r="AQ68" s="76" t="str">
        <x:v>GORGONWARS-PREMISE-1.0</x:v>
      </x:c>
      <x:c r="AR68" s="76" t="str"/>
      <x:c r="AS68" s="82" t="str">
        <x:f>IF(A68="","",IF(OR(E68="NOT APPLICABLE",E68="PREMISES UNRESOLVED"),"N/A",IF(OR(AND(F68&lt;&gt;"NO EVIDENCE",F68&lt;&gt;"NOT APPLICABLE",OR(AG68="",AH68="",AI68="",AJ68="",AG68="SYSTEM INFERENCE",AG68="ABSTRACT ONLY",AG68="SECONDARY REPORT",AG68="UNVERIFIED",AI68="Exact locator needed",AI68="HAU forum framing; exact target locator needed",AI68="Forum exchange; exact locator needed")),AND(G68&lt;&gt;"NO EVIDENCE",G68&lt;&gt;"NOT APPLICABLE",OR(AK68="",AL68="",AM68="",AN68="",AK68="SYSTEM INFERENCE",AK68="ABSTRACT ONLY",AK68="SECONDARY REPORT",AK68="UNVERIFIED",AM68="Exact locator needed",AM68="HAU forum framing; exact target locator needed",AM68="Forum exchange; exact locator needed"))),"EVIDENCE DEBT","READY")))</x:f>
        <x:v>N/A</x:v>
      </x:c>
      <x:c r="AT68" s="77" t="str"/>
    </x:row>
    <x:row r="69" ht="50" customHeight="1">
      <x:c r="A69" s="85" t="n">
        <x:v>64</x:v>
      </x:c>
      <x:c r="B69" s="73" t="str">
        <x:v>Active</x:v>
      </x:c>
      <x:c r="C69" s="89" t="n">
        <x:v>9</x:v>
      </x:c>
      <x:c r="D69" s="82" t="str">
        <x:f>IF(C69="","",IFERROR(VLOOKUP(C69,'Database controls'!$A$5:$B$20,2,FALSE),"NEW / UNCATEGORIZED"))</x:f>
        <x:v>AI ethics, scanner mechanisms, and pluralistic correctives</x:v>
      </x:c>
      <x:c r="E69" s="73" t="str">
        <x:v>NOT APPLICABLE</x:v>
      </x:c>
      <x:c r="F69" s="73" t="str">
        <x:v>NOT APPLICABLE</x:v>
      </x:c>
      <x:c r="G69" s="73" t="str">
        <x:v>NOT APPLICABLE</x:v>
      </x:c>
      <x:c r="H69" s="82" t="str">
        <x:f>IF(A69="","",IF(OR(F69="REJECTS",G69="REJECTS"),"OUTSIDE / EXCOMMUNICABLE",IF(AND(OR(F69="RETAINS",F69="RETAINS WITH QUALIFICATION"),OR(G69="RETAINS",G69="RETAINS WITH QUALIFICATION")),"INTERNAL GORGONWARS",IF(AND(F69="NOT APPLICABLE",G69="NOT APPLICABLE"),"NOT APPLICABLE","PREMISES UNRESOLVED"))))</x:f>
        <x:v>NOT APPLICABLE</x:v>
      </x:c>
      <x:c r="I69" s="82" t="str">
        <x:f>IF(A69="","",IF(E69=H69,"OK",IF(AO69&lt;&gt;"","OVERRIDDEN","REVIEW")))</x:f>
        <x:v>OK</x:v>
      </x:c>
      <x:c r="J69" s="73" t="str">
        <x:v>RLHF pipeline evidence</x:v>
      </x:c>
      <x:c r="K69" s="73" t="str">
        <x:v>AI / scanner mechanism only</x:v>
      </x:c>
      <x:c r="L69" s="73" t="str">
        <x:v>Working paper / preprint</x:v>
      </x:c>
      <x:c r="M69" s="73" t="str">
        <x:v>Working paper / preprint</x:v>
      </x:c>
      <x:c r="N69" s="89" t="n">
        <x:v>2022</x:v>
      </x:c>
      <x:c r="O69" s="73" t="str">
        <x:v>Long Ouyang and colleagues</x:v>
      </x:c>
      <x:c r="P69" s="73" t="str">
        <x:v>Training Language Models to Follow Instructions with Human Feedback</x:v>
      </x:c>
      <x:c r="Q69" s="73" t="str">
        <x:v>NeurIPS / arXiv</x:v>
      </x:c>
      <x:c r="R69" s="73" t="str">
        <x:v>English</x:v>
      </x:c>
      <x:c r="S69" s="73" t="str">
        <x:v>RLHF aligns a model to a small selected group’s demonstrations and rankings, so who labels and how their judgments are weighted shapes the resulting assistant.</x:v>
      </x:c>
      <x:c r="T69" s="73" t="str">
        <x:v>Describes a training pipeline; it does not by itself prove a specific ideological direction in any deployed model.</x:v>
      </x:c>
      <x:c r="U69" s="73" t="str">
        <x:v>Source record verified</x:v>
      </x:c>
      <x:c r="V69" s="73" t="str">
        <x:v>www.arxiv.org/abs/2203.02155</x:v>
      </x:c>
      <x:c r="W69" s="73" t="str">
        <x:v>arXiv:2203.02155</x:v>
      </x:c>
      <x:c r="X69" s="93" t="n">
        <x:v>46230</x:v>
      </x:c>
      <x:c r="Y69" s="93" t="n">
        <x:v>46230</x:v>
      </x:c>
      <x:c r="Z69" s="73" t="str"/>
      <x:c r="AA69" s="73" t="str"/>
      <x:c r="AB69" s="73" t="n">
        <x:v>64</x:v>
      </x:c>
      <x:c r="AC69" s="73" t="str">
        <x:v>SCANNER MECHANISM</x:v>
      </x:c>
      <x:c r="AD69" s="73" t="str">
        <x:v>MECHANISM / ADJACENT</x:v>
      </x:c>
      <x:c r="AE69" s="73" t="str">
        <x:v>NO</x:v>
      </x:c>
      <x:c r="AF69" s="73" t="str">
        <x:v>Search, labeling, ranking, moderation, alignment, and evaluator bias</x:v>
      </x:c>
      <x:c r="AG69" s="73" t="str">
        <x:v>NOT APPLICABLE</x:v>
      </x:c>
      <x:c r="AH69" s="73" t="str"/>
      <x:c r="AI69" s="73" t="str"/>
      <x:c r="AJ69" s="73" t="str"/>
      <x:c r="AK69" s="73" t="str">
        <x:v>NOT APPLICABLE</x:v>
      </x:c>
      <x:c r="AL69" s="73" t="str"/>
      <x:c r="AM69" s="73" t="str"/>
      <x:c r="AN69" s="73" t="str"/>
      <x:c r="AO69" s="73" t="str"/>
      <x:c r="AP69" s="73" t="str">
        <x:v>Research team</x:v>
      </x:c>
      <x:c r="AQ69" s="73" t="str">
        <x:v>GORGONWARS-PREMISE-1.0</x:v>
      </x:c>
      <x:c r="AR69" s="73" t="str"/>
      <x:c r="AS69" s="82" t="str">
        <x:f>IF(A69="","",IF(OR(E69="NOT APPLICABLE",E69="PREMISES UNRESOLVED"),"N/A",IF(OR(AND(F69&lt;&gt;"NO EVIDENCE",F69&lt;&gt;"NOT APPLICABLE",OR(AG69="",AH69="",AI69="",AJ69="",AG69="SYSTEM INFERENCE",AG69="ABSTRACT ONLY",AG69="SECONDARY REPORT",AG69="UNVERIFIED",AI69="Exact locator needed",AI69="HAU forum framing; exact target locator needed",AI69="Forum exchange; exact locator needed")),AND(G69&lt;&gt;"NO EVIDENCE",G69&lt;&gt;"NOT APPLICABLE",OR(AK69="",AL69="",AM69="",AN69="",AK69="SYSTEM INFERENCE",AK69="ABSTRACT ONLY",AK69="SECONDARY REPORT",AK69="UNVERIFIED",AM69="Exact locator needed",AM69="HAU forum framing; exact target locator needed",AM69="Forum exchange; exact locator needed"))),"EVIDENCE DEBT","READY")))</x:f>
        <x:v>N/A</x:v>
      </x:c>
      <x:c r="AT69" s="74" t="str"/>
    </x:row>
    <x:row r="70" ht="50" customHeight="1">
      <x:c r="A70" s="86" t="n">
        <x:v>65</x:v>
      </x:c>
      <x:c r="B70" s="76" t="str">
        <x:v>Active</x:v>
      </x:c>
      <x:c r="C70" s="90" t="n">
        <x:v>9</x:v>
      </x:c>
      <x:c r="D70" s="82" t="str">
        <x:f>IF(C70="","",IFERROR(VLOOKUP(C70,'Database controls'!$A$5:$B$20,2,FALSE),"NEW / UNCATEGORIZED"))</x:f>
        <x:v>AI ethics, scanner mechanisms, and pluralistic correctives</x:v>
      </x:c>
      <x:c r="E70" s="76" t="str">
        <x:v>NOT APPLICABLE</x:v>
      </x:c>
      <x:c r="F70" s="76" t="str">
        <x:v>NOT APPLICABLE</x:v>
      </x:c>
      <x:c r="G70" s="76" t="str">
        <x:v>NOT APPLICABLE</x:v>
      </x:c>
      <x:c r="H70" s="82" t="str">
        <x:f>IF(A70="","",IF(OR(F70="REJECTS",G70="REJECTS"),"OUTSIDE / EXCOMMUNICABLE",IF(AND(OR(F70="RETAINS",F70="RETAINS WITH QUALIFICATION"),OR(G70="RETAINS",G70="RETAINS WITH QUALIFICATION")),"INTERNAL GORGONWARS",IF(AND(F70="NOT APPLICABLE",G70="NOT APPLICABLE"),"NOT APPLICABLE","PREMISES UNRESOLVED"))))</x:f>
        <x:v>NOT APPLICABLE</x:v>
      </x:c>
      <x:c r="I70" s="82" t="str">
        <x:f>IF(A70="","",IF(E70=H70,"OK",IF(AO70&lt;&gt;"","OVERRIDDEN","REVIEW")))</x:f>
        <x:v>OK</x:v>
      </x:c>
      <x:c r="J70" s="76" t="str">
        <x:v>Moderation-taxonomy implementation evidence</x:v>
      </x:c>
      <x:c r="K70" s="76" t="str">
        <x:v>AI / scanner mechanism only</x:v>
      </x:c>
      <x:c r="L70" s="76" t="str">
        <x:v>Conference paper</x:v>
      </x:c>
      <x:c r="M70" s="76" t="str">
        <x:v>Conference review</x:v>
      </x:c>
      <x:c r="N70" s="90" t="n">
        <x:v>2023</x:v>
      </x:c>
      <x:c r="O70" s="76" t="str">
        <x:v>Todor Markov and colleagues</x:v>
      </x:c>
      <x:c r="P70" s="76" t="str">
        <x:v>A Holistic Approach to Undesired Content Detection in the Real World</x:v>
      </x:c>
      <x:c r="Q70" s="76" t="str">
        <x:v>Proceedings of AAAI 37</x:v>
      </x:c>
      <x:c r="R70" s="76" t="str">
        <x:v>English</x:v>
      </x:c>
      <x:c r="S70" s="76" t="str">
        <x:v>Moderation performance depends on the taxonomy of forbidden content, labeling rules, datasets, and feedback loops, so policy categories become model behavior.</x:v>
      </x:c>
      <x:c r="T70" s="76" t="str">
        <x:v>A moderation engineering account rather than a direct audit of #MeToo retrieval.</x:v>
      </x:c>
      <x:c r="U70" s="76" t="str">
        <x:v>Source record verified</x:v>
      </x:c>
      <x:c r="V70" s="76" t="str">
        <x:v>www.doi.org/10.1609/aaai.v37i12.26752</x:v>
      </x:c>
      <x:c r="W70" s="76" t="str">
        <x:v>10.1609/aaai.v37i12.26752</x:v>
      </x:c>
      <x:c r="X70" s="94" t="n">
        <x:v>46230</x:v>
      </x:c>
      <x:c r="Y70" s="94" t="n">
        <x:v>46230</x:v>
      </x:c>
      <x:c r="Z70" s="76" t="str"/>
      <x:c r="AA70" s="76" t="str"/>
      <x:c r="AB70" s="76" t="n">
        <x:v>65</x:v>
      </x:c>
      <x:c r="AC70" s="76" t="str">
        <x:v>SCANNER MECHANISM</x:v>
      </x:c>
      <x:c r="AD70" s="76" t="str">
        <x:v>MECHANISM / ADJACENT</x:v>
      </x:c>
      <x:c r="AE70" s="76" t="str">
        <x:v>NO</x:v>
      </x:c>
      <x:c r="AF70" s="76" t="str">
        <x:v>Search, labeling, ranking, moderation, alignment, and evaluator bias</x:v>
      </x:c>
      <x:c r="AG70" s="76" t="str">
        <x:v>NOT APPLICABLE</x:v>
      </x:c>
      <x:c r="AH70" s="76" t="str"/>
      <x:c r="AI70" s="76" t="str"/>
      <x:c r="AJ70" s="76" t="str"/>
      <x:c r="AK70" s="76" t="str">
        <x:v>NOT APPLICABLE</x:v>
      </x:c>
      <x:c r="AL70" s="76" t="str"/>
      <x:c r="AM70" s="76" t="str"/>
      <x:c r="AN70" s="76" t="str"/>
      <x:c r="AO70" s="76" t="str"/>
      <x:c r="AP70" s="76" t="str">
        <x:v>Research team</x:v>
      </x:c>
      <x:c r="AQ70" s="76" t="str">
        <x:v>GORGONWARS-PREMISE-1.0</x:v>
      </x:c>
      <x:c r="AR70" s="76" t="str"/>
      <x:c r="AS70" s="82" t="str">
        <x:f>IF(A70="","",IF(OR(E70="NOT APPLICABLE",E70="PREMISES UNRESOLVED"),"N/A",IF(OR(AND(F70&lt;&gt;"NO EVIDENCE",F70&lt;&gt;"NOT APPLICABLE",OR(AG70="",AH70="",AI70="",AJ70="",AG70="SYSTEM INFERENCE",AG70="ABSTRACT ONLY",AG70="SECONDARY REPORT",AG70="UNVERIFIED",AI70="Exact locator needed",AI70="HAU forum framing; exact target locator needed",AI70="Forum exchange; exact locator needed")),AND(G70&lt;&gt;"NO EVIDENCE",G70&lt;&gt;"NOT APPLICABLE",OR(AK70="",AL70="",AM70="",AN70="",AK70="SYSTEM INFERENCE",AK70="ABSTRACT ONLY",AK70="SECONDARY REPORT",AK70="UNVERIFIED",AM70="Exact locator needed",AM70="HAU forum framing; exact target locator needed",AM70="Forum exchange; exact locator needed"))),"EVIDENCE DEBT","READY")))</x:f>
        <x:v>N/A</x:v>
      </x:c>
      <x:c r="AT70" s="77" t="str"/>
    </x:row>
    <x:row r="71" ht="50" customHeight="1">
      <x:c r="A71" s="85" t="n">
        <x:v>66</x:v>
      </x:c>
      <x:c r="B71" s="73" t="str">
        <x:v>Active</x:v>
      </x:c>
      <x:c r="C71" s="89" t="n">
        <x:v>9</x:v>
      </x:c>
      <x:c r="D71" s="82" t="str">
        <x:f>IF(C71="","",IFERROR(VLOOKUP(C71,'Database controls'!$A$5:$B$20,2,FALSE),"NEW / UNCATEGORIZED"))</x:f>
        <x:v>AI ethics, scanner mechanisms, and pluralistic correctives</x:v>
      </x:c>
      <x:c r="E71" s="73" t="str">
        <x:v>NOT APPLICABLE</x:v>
      </x:c>
      <x:c r="F71" s="73" t="str">
        <x:v>NOT APPLICABLE</x:v>
      </x:c>
      <x:c r="G71" s="73" t="str">
        <x:v>NOT APPLICABLE</x:v>
      </x:c>
      <x:c r="H71" s="82" t="str">
        <x:f>IF(A71="","",IF(OR(F71="REJECTS",G71="REJECTS"),"OUTSIDE / EXCOMMUNICABLE",IF(AND(OR(F71="RETAINS",F71="RETAINS WITH QUALIFICATION"),OR(G71="RETAINS",G71="RETAINS WITH QUALIFICATION")),"INTERNAL GORGONWARS",IF(AND(F71="NOT APPLICABLE",G71="NOT APPLICABLE"),"NOT APPLICABLE","PREMISES UNRESOLVED"))))</x:f>
        <x:v>NOT APPLICABLE</x:v>
      </x:c>
      <x:c r="I71" s="82" t="str">
        <x:f>IF(A71="","",IF(E71=H71,"OK",IF(AO71&lt;&gt;"","OVERRIDDEN","REVIEW")))</x:f>
        <x:v>OK</x:v>
      </x:c>
      <x:c r="J71" s="73" t="str">
        <x:v>Governance critique of algorithmic moderation</x:v>
      </x:c>
      <x:c r="K71" s="73" t="str">
        <x:v>AI / scanner mechanism only</x:v>
      </x:c>
      <x:c r="L71" s="73" t="str">
        <x:v>Peer-reviewed journal article</x:v>
      </x:c>
      <x:c r="M71" s="73" t="str">
        <x:v>Peer-reviewed</x:v>
      </x:c>
      <x:c r="N71" s="89" t="n">
        <x:v>2020</x:v>
      </x:c>
      <x:c r="O71" s="73" t="str">
        <x:v>Robert Gorwa, Reuben Binns, and Christian Katzenbach</x:v>
      </x:c>
      <x:c r="P71" s="73" t="str">
        <x:v>Algorithmic Content Moderation: Technical and Political Challenges in the Automation of Platform Governance</x:v>
      </x:c>
      <x:c r="Q71" s="73" t="str">
        <x:v>Big Data &amp; Society</x:v>
      </x:c>
      <x:c r="R71" s="73" t="str">
        <x:v>English</x:v>
      </x:c>
      <x:c r="S71" s="73" t="str">
        <x:v>Automated moderation can invisibly privilege viewpoints and hide political decisions behind opaque technical systems.</x:v>
      </x:c>
      <x:c r="T71" s="73" t="str">
        <x:v>A platform-governance analysis, not evidence that this research scanner performed moderation.</x:v>
      </x:c>
      <x:c r="U71" s="73" t="str">
        <x:v>Source record verified</x:v>
      </x:c>
      <x:c r="V71" s="73" t="str">
        <x:v>www.doi.org/10.1177/2053951719897945</x:v>
      </x:c>
      <x:c r="W71" s="73" t="str">
        <x:v>10.1177/2053951719897945</x:v>
      </x:c>
      <x:c r="X71" s="93" t="n">
        <x:v>46230</x:v>
      </x:c>
      <x:c r="Y71" s="93" t="n">
        <x:v>46230</x:v>
      </x:c>
      <x:c r="Z71" s="73" t="str"/>
      <x:c r="AA71" s="73" t="str"/>
      <x:c r="AB71" s="73" t="n">
        <x:v>66</x:v>
      </x:c>
      <x:c r="AC71" s="73" t="str">
        <x:v>SCANNER MECHANISM</x:v>
      </x:c>
      <x:c r="AD71" s="73" t="str">
        <x:v>MECHANISM / ADJACENT</x:v>
      </x:c>
      <x:c r="AE71" s="73" t="str">
        <x:v>NO</x:v>
      </x:c>
      <x:c r="AF71" s="73" t="str">
        <x:v>Search, labeling, ranking, moderation, alignment, and evaluator bias</x:v>
      </x:c>
      <x:c r="AG71" s="73" t="str">
        <x:v>NOT APPLICABLE</x:v>
      </x:c>
      <x:c r="AH71" s="73" t="str"/>
      <x:c r="AI71" s="73" t="str"/>
      <x:c r="AJ71" s="73" t="str"/>
      <x:c r="AK71" s="73" t="str">
        <x:v>NOT APPLICABLE</x:v>
      </x:c>
      <x:c r="AL71" s="73" t="str"/>
      <x:c r="AM71" s="73" t="str"/>
      <x:c r="AN71" s="73" t="str"/>
      <x:c r="AO71" s="73" t="str"/>
      <x:c r="AP71" s="73" t="str">
        <x:v>Research team</x:v>
      </x:c>
      <x:c r="AQ71" s="73" t="str">
        <x:v>GORGONWARS-PREMISE-1.0</x:v>
      </x:c>
      <x:c r="AR71" s="73" t="str"/>
      <x:c r="AS71" s="82" t="str">
        <x:f>IF(A71="","",IF(OR(E71="NOT APPLICABLE",E71="PREMISES UNRESOLVED"),"N/A",IF(OR(AND(F71&lt;&gt;"NO EVIDENCE",F71&lt;&gt;"NOT APPLICABLE",OR(AG71="",AH71="",AI71="",AJ71="",AG71="SYSTEM INFERENCE",AG71="ABSTRACT ONLY",AG71="SECONDARY REPORT",AG71="UNVERIFIED",AI71="Exact locator needed",AI71="HAU forum framing; exact target locator needed",AI71="Forum exchange; exact locator needed")),AND(G71&lt;&gt;"NO EVIDENCE",G71&lt;&gt;"NOT APPLICABLE",OR(AK71="",AL71="",AM71="",AN71="",AK71="SYSTEM INFERENCE",AK71="ABSTRACT ONLY",AK71="SECONDARY REPORT",AK71="UNVERIFIED",AM71="Exact locator needed",AM71="HAU forum framing; exact target locator needed",AM71="Forum exchange; exact locator needed"))),"EVIDENCE DEBT","READY")))</x:f>
        <x:v>N/A</x:v>
      </x:c>
      <x:c r="AT71" s="74" t="str"/>
    </x:row>
    <x:row r="72" ht="50" customHeight="1">
      <x:c r="A72" s="86" t="n">
        <x:v>67</x:v>
      </x:c>
      <x:c r="B72" s="76" t="str">
        <x:v>Active</x:v>
      </x:c>
      <x:c r="C72" s="90" t="n">
        <x:v>9</x:v>
      </x:c>
      <x:c r="D72" s="82" t="str">
        <x:f>IF(C72="","",IFERROR(VLOOKUP(C72,'Database controls'!$A$5:$B$20,2,FALSE),"NEW / UNCATEGORIZED"))</x:f>
        <x:v>AI ethics, scanner mechanisms, and pluralistic correctives</x:v>
      </x:c>
      <x:c r="E72" s="76" t="str">
        <x:v>NOT APPLICABLE</x:v>
      </x:c>
      <x:c r="F72" s="76" t="str">
        <x:v>NOT APPLICABLE</x:v>
      </x:c>
      <x:c r="G72" s="76" t="str">
        <x:v>NOT APPLICABLE</x:v>
      </x:c>
      <x:c r="H72" s="82" t="str">
        <x:f>IF(A72="","",IF(OR(F72="REJECTS",G72="REJECTS"),"OUTSIDE / EXCOMMUNICABLE",IF(AND(OR(F72="RETAINS",F72="RETAINS WITH QUALIFICATION"),OR(G72="RETAINS",G72="RETAINS WITH QUALIFICATION")),"INTERNAL GORGONWARS",IF(AND(F72="NOT APPLICABLE",G72="NOT APPLICABLE"),"NOT APPLICABLE","PREMISES UNRESOLVED"))))</x:f>
        <x:v>NOT APPLICABLE</x:v>
      </x:c>
      <x:c r="I72" s="82" t="str">
        <x:f>IF(A72="","",IF(E72=H72,"OK",IF(AO72&lt;&gt;"","OVERRIDDEN","REVIEW")))</x:f>
        <x:v>OK</x:v>
      </x:c>
      <x:c r="J72" s="76" t="str">
        <x:v>Scale-and-context mechanism</x:v>
      </x:c>
      <x:c r="K72" s="76" t="str">
        <x:v>AI / scanner mechanism only</x:v>
      </x:c>
      <x:c r="L72" s="76" t="str">
        <x:v>Peer-reviewed journal article</x:v>
      </x:c>
      <x:c r="M72" s="76" t="str">
        <x:v>Peer-reviewed</x:v>
      </x:c>
      <x:c r="N72" s="90" t="n">
        <x:v>2020</x:v>
      </x:c>
      <x:c r="O72" s="76" t="str">
        <x:v>Tarleton Gillespie</x:v>
      </x:c>
      <x:c r="P72" s="76" t="str">
        <x:v>Content Moderation, AI, and the Question of Scale</x:v>
      </x:c>
      <x:c r="Q72" s="76" t="str">
        <x:v>Big Data &amp; Society</x:v>
      </x:c>
      <x:c r="R72" s="76" t="str">
        <x:v>English</x:v>
      </x:c>
      <x:c r="S72" s="76" t="str">
        <x:v>Machine moderation scales earlier human policy judgments across millions of cases while losing context and making small classification rules socially powerful.</x:v>
      </x:c>
      <x:c r="T72" s="76" t="str">
        <x:v>A conceptual platform analysis; its application to bibliography retrieval remains analogical.</x:v>
      </x:c>
      <x:c r="U72" s="76" t="str">
        <x:v>Source record verified</x:v>
      </x:c>
      <x:c r="V72" s="76" t="str">
        <x:v>www.doi.org/10.1177/2053951720943234</x:v>
      </x:c>
      <x:c r="W72" s="76" t="str">
        <x:v>10.1177/2053951720943234</x:v>
      </x:c>
      <x:c r="X72" s="94" t="n">
        <x:v>46230</x:v>
      </x:c>
      <x:c r="Y72" s="94" t="n">
        <x:v>46230</x:v>
      </x:c>
      <x:c r="Z72" s="76" t="str"/>
      <x:c r="AA72" s="76" t="str"/>
      <x:c r="AB72" s="76" t="n">
        <x:v>67</x:v>
      </x:c>
      <x:c r="AC72" s="76" t="str">
        <x:v>SCANNER MECHANISM</x:v>
      </x:c>
      <x:c r="AD72" s="76" t="str">
        <x:v>MECHANISM / ADJACENT</x:v>
      </x:c>
      <x:c r="AE72" s="76" t="str">
        <x:v>NO</x:v>
      </x:c>
      <x:c r="AF72" s="76" t="str">
        <x:v>Search, labeling, ranking, moderation, alignment, and evaluator bias</x:v>
      </x:c>
      <x:c r="AG72" s="76" t="str">
        <x:v>NOT APPLICABLE</x:v>
      </x:c>
      <x:c r="AH72" s="76" t="str"/>
      <x:c r="AI72" s="76" t="str"/>
      <x:c r="AJ72" s="76" t="str"/>
      <x:c r="AK72" s="76" t="str">
        <x:v>NOT APPLICABLE</x:v>
      </x:c>
      <x:c r="AL72" s="76" t="str"/>
      <x:c r="AM72" s="76" t="str"/>
      <x:c r="AN72" s="76" t="str"/>
      <x:c r="AO72" s="76" t="str"/>
      <x:c r="AP72" s="76" t="str">
        <x:v>Research team</x:v>
      </x:c>
      <x:c r="AQ72" s="76" t="str">
        <x:v>GORGONWARS-PREMISE-1.0</x:v>
      </x:c>
      <x:c r="AR72" s="76" t="str"/>
      <x:c r="AS72" s="82" t="str">
        <x:f>IF(A72="","",IF(OR(E72="NOT APPLICABLE",E72="PREMISES UNRESOLVED"),"N/A",IF(OR(AND(F72&lt;&gt;"NO EVIDENCE",F72&lt;&gt;"NOT APPLICABLE",OR(AG72="",AH72="",AI72="",AJ72="",AG72="SYSTEM INFERENCE",AG72="ABSTRACT ONLY",AG72="SECONDARY REPORT",AG72="UNVERIFIED",AI72="Exact locator needed",AI72="HAU forum framing; exact target locator needed",AI72="Forum exchange; exact locator needed")),AND(G72&lt;&gt;"NO EVIDENCE",G72&lt;&gt;"NOT APPLICABLE",OR(AK72="",AL72="",AM72="",AN72="",AK72="SYSTEM INFERENCE",AK72="ABSTRACT ONLY",AK72="SECONDARY REPORT",AK72="UNVERIFIED",AM72="Exact locator needed",AM72="HAU forum framing; exact target locator needed",AM72="Forum exchange; exact locator needed"))),"EVIDENCE DEBT","READY")))</x:f>
        <x:v>N/A</x:v>
      </x:c>
      <x:c r="AT72" s="77" t="str"/>
    </x:row>
    <x:row r="73" ht="50" customHeight="1">
      <x:c r="A73" s="85" t="n">
        <x:v>68</x:v>
      </x:c>
      <x:c r="B73" s="73" t="str">
        <x:v>Active</x:v>
      </x:c>
      <x:c r="C73" s="89" t="n">
        <x:v>9</x:v>
      </x:c>
      <x:c r="D73" s="82" t="str">
        <x:f>IF(C73="","",IFERROR(VLOOKUP(C73,'Database controls'!$A$5:$B$20,2,FALSE),"NEW / UNCATEGORIZED"))</x:f>
        <x:v>AI ethics, scanner mechanisms, and pluralistic correctives</x:v>
      </x:c>
      <x:c r="E73" s="73" t="str">
        <x:v>NOT APPLICABLE</x:v>
      </x:c>
      <x:c r="F73" s="73" t="str">
        <x:v>NOT APPLICABLE</x:v>
      </x:c>
      <x:c r="G73" s="73" t="str">
        <x:v>NOT APPLICABLE</x:v>
      </x:c>
      <x:c r="H73" s="82" t="str">
        <x:f>IF(A73="","",IF(OR(F73="REJECTS",G73="REJECTS"),"OUTSIDE / EXCOMMUNICABLE",IF(AND(OR(F73="RETAINS",F73="RETAINS WITH QUALIFICATION"),OR(G73="RETAINS",G73="RETAINS WITH QUALIFICATION")),"INTERNAL GORGONWARS",IF(AND(F73="NOT APPLICABLE",G73="NOT APPLICABLE"),"NOT APPLICABLE","PREMISES UNRESOLVED"))))</x:f>
        <x:v>NOT APPLICABLE</x:v>
      </x:c>
      <x:c r="I73" s="82" t="str">
        <x:f>IF(A73="","",IF(E73=H73,"OK",IF(AO73&lt;&gt;"","OVERRIDDEN","REVIEW")))</x:f>
        <x:v>OK</x:v>
      </x:c>
      <x:c r="J73" s="73" t="str">
        <x:v>RLHF limitation survey</x:v>
      </x:c>
      <x:c r="K73" s="73" t="str">
        <x:v>AI / scanner mechanism only</x:v>
      </x:c>
      <x:c r="L73" s="73" t="str">
        <x:v>Peer-reviewed journal article</x:v>
      </x:c>
      <x:c r="M73" s="73" t="str">
        <x:v>Peer-reviewed</x:v>
      </x:c>
      <x:c r="N73" s="89" t="n">
        <x:v>2023</x:v>
      </x:c>
      <x:c r="O73" s="73" t="str">
        <x:v>Stephen Casper and colleagues</x:v>
      </x:c>
      <x:c r="P73" s="73" t="str">
        <x:v>Open Problems and Fundamental Limitations of Reinforcement Learning from Human Feedback</x:v>
      </x:c>
      <x:c r="Q73" s="73" t="str">
        <x:v>Transactions on Machine Learning Research</x:v>
      </x:c>
      <x:c r="R73" s="73" t="str">
        <x:v>English</x:v>
      </x:c>
      <x:c r="S73" s="73" t="str">
        <x:v>RLHF inherits evaluator disagreement, selection bias, limited answer choices, missing context, and reward failures, so human feedback cannot serve as neutral ground truth.</x:v>
      </x:c>
      <x:c r="T73" s="73" t="str">
        <x:v>A general limitations survey; it does not identify which failure explains any one scanner result.</x:v>
      </x:c>
      <x:c r="U73" s="73" t="str">
        <x:v>Source record verified</x:v>
      </x:c>
      <x:c r="V73" s="73" t="str">
        <x:v>www.openreview.net/forum?id=bx24KpJ4Eb</x:v>
      </x:c>
      <x:c r="W73" s="73" t="str"/>
      <x:c r="X73" s="93" t="n">
        <x:v>46230</x:v>
      </x:c>
      <x:c r="Y73" s="93" t="n">
        <x:v>46230</x:v>
      </x:c>
      <x:c r="Z73" s="73" t="str"/>
      <x:c r="AA73" s="73" t="str"/>
      <x:c r="AB73" s="73" t="n">
        <x:v>68</x:v>
      </x:c>
      <x:c r="AC73" s="73" t="str">
        <x:v>SCANNER MECHANISM</x:v>
      </x:c>
      <x:c r="AD73" s="73" t="str">
        <x:v>MECHANISM / ADJACENT</x:v>
      </x:c>
      <x:c r="AE73" s="73" t="str">
        <x:v>NO</x:v>
      </x:c>
      <x:c r="AF73" s="73" t="str">
        <x:v>Search, labeling, ranking, moderation, alignment, and evaluator bias</x:v>
      </x:c>
      <x:c r="AG73" s="73" t="str">
        <x:v>NOT APPLICABLE</x:v>
      </x:c>
      <x:c r="AH73" s="73" t="str"/>
      <x:c r="AI73" s="73" t="str"/>
      <x:c r="AJ73" s="73" t="str"/>
      <x:c r="AK73" s="73" t="str">
        <x:v>NOT APPLICABLE</x:v>
      </x:c>
      <x:c r="AL73" s="73" t="str"/>
      <x:c r="AM73" s="73" t="str"/>
      <x:c r="AN73" s="73" t="str"/>
      <x:c r="AO73" s="73" t="str"/>
      <x:c r="AP73" s="73" t="str">
        <x:v>Research team</x:v>
      </x:c>
      <x:c r="AQ73" s="73" t="str">
        <x:v>GORGONWARS-PREMISE-1.0</x:v>
      </x:c>
      <x:c r="AR73" s="73" t="str"/>
      <x:c r="AS73" s="82" t="str">
        <x:f>IF(A73="","",IF(OR(E73="NOT APPLICABLE",E73="PREMISES UNRESOLVED"),"N/A",IF(OR(AND(F73&lt;&gt;"NO EVIDENCE",F73&lt;&gt;"NOT APPLICABLE",OR(AG73="",AH73="",AI73="",AJ73="",AG73="SYSTEM INFERENCE",AG73="ABSTRACT ONLY",AG73="SECONDARY REPORT",AG73="UNVERIFIED",AI73="Exact locator needed",AI73="HAU forum framing; exact target locator needed",AI73="Forum exchange; exact locator needed")),AND(G73&lt;&gt;"NO EVIDENCE",G73&lt;&gt;"NOT APPLICABLE",OR(AK73="",AL73="",AM73="",AN73="",AK73="SYSTEM INFERENCE",AK73="ABSTRACT ONLY",AK73="SECONDARY REPORT",AK73="UNVERIFIED",AM73="Exact locator needed",AM73="HAU forum framing; exact target locator needed",AM73="Forum exchange; exact locator needed"))),"EVIDENCE DEBT","READY")))</x:f>
        <x:v>N/A</x:v>
      </x:c>
      <x:c r="AT73" s="74" t="str"/>
    </x:row>
    <x:row r="74" ht="50" customHeight="1">
      <x:c r="A74" s="86" t="n">
        <x:v>69</x:v>
      </x:c>
      <x:c r="B74" s="76" t="str">
        <x:v>Active</x:v>
      </x:c>
      <x:c r="C74" s="90" t="n">
        <x:v>9</x:v>
      </x:c>
      <x:c r="D74" s="82" t="str">
        <x:f>IF(C74="","",IFERROR(VLOOKUP(C74,'Database controls'!$A$5:$B$20,2,FALSE),"NEW / UNCATEGORIZED"))</x:f>
        <x:v>AI ethics, scanner mechanisms, and pluralistic correctives</x:v>
      </x:c>
      <x:c r="E74" s="76" t="str">
        <x:v>NOT APPLICABLE</x:v>
      </x:c>
      <x:c r="F74" s="76" t="str">
        <x:v>NOT APPLICABLE</x:v>
      </x:c>
      <x:c r="G74" s="76" t="str">
        <x:v>NOT APPLICABLE</x:v>
      </x:c>
      <x:c r="H74" s="82" t="str">
        <x:f>IF(A74="","",IF(OR(F74="REJECTS",G74="REJECTS"),"OUTSIDE / EXCOMMUNICABLE",IF(AND(OR(F74="RETAINS",F74="RETAINS WITH QUALIFICATION"),OR(G74="RETAINS",G74="RETAINS WITH QUALIFICATION")),"INTERNAL GORGONWARS",IF(AND(F74="NOT APPLICABLE",G74="NOT APPLICABLE"),"NOT APPLICABLE","PREMISES UNRESOLVED"))))</x:f>
        <x:v>NOT APPLICABLE</x:v>
      </x:c>
      <x:c r="I74" s="82" t="str">
        <x:f>IF(A74="","",IF(E74=H74,"OK",IF(AO74&lt;&gt;"","OVERRIDDEN","REVIEW")))</x:f>
        <x:v>OK</x:v>
      </x:c>
      <x:c r="J74" s="76" t="str">
        <x:v>Empirical audit of whose opinions language models reflect</x:v>
      </x:c>
      <x:c r="K74" s="76" t="str">
        <x:v>AI / scanner mechanism only</x:v>
      </x:c>
      <x:c r="L74" s="76" t="str">
        <x:v>Conference paper</x:v>
      </x:c>
      <x:c r="M74" s="76" t="str">
        <x:v>Conference review</x:v>
      </x:c>
      <x:c r="N74" s="90" t="n">
        <x:v>2023</x:v>
      </x:c>
      <x:c r="O74" s="76" t="str">
        <x:v>Shibani Santurkar and colleagues</x:v>
      </x:c>
      <x:c r="P74" s="76" t="str">
        <x:v>Whose Opinions Do Language Models Reflect?</x:v>
      </x:c>
      <x:c r="Q74" s="76" t="str">
        <x:v>Proceedings of ICML</x:v>
      </x:c>
      <x:c r="R74" s="76" t="str">
        <x:v>English</x:v>
      </x:c>
      <x:c r="S74" s="76" t="str">
        <x:v>Human-feedback-tuned language models fit some demographic and political opinions better than others, revealing whose preferences alignment actually represents.</x:v>
      </x:c>
      <x:c r="T74" s="76" t="str">
        <x:v>Opinion alignment results do not establish the cause of every content-specific retrieval imbalance.</x:v>
      </x:c>
      <x:c r="U74" s="76" t="str">
        <x:v>Source record verified</x:v>
      </x:c>
      <x:c r="V74" s="76" t="str">
        <x:v>www.proceedings.mlr.press/v202/santurkar23a.html</x:v>
      </x:c>
      <x:c r="W74" s="76" t="str"/>
      <x:c r="X74" s="94" t="n">
        <x:v>46230</x:v>
      </x:c>
      <x:c r="Y74" s="94" t="n">
        <x:v>46230</x:v>
      </x:c>
      <x:c r="Z74" s="76" t="str"/>
      <x:c r="AA74" s="76" t="str"/>
      <x:c r="AB74" s="76" t="n">
        <x:v>69</x:v>
      </x:c>
      <x:c r="AC74" s="76" t="str">
        <x:v>SCANNER MECHANISM</x:v>
      </x:c>
      <x:c r="AD74" s="76" t="str">
        <x:v>MECHANISM / ADJACENT</x:v>
      </x:c>
      <x:c r="AE74" s="76" t="str">
        <x:v>NO</x:v>
      </x:c>
      <x:c r="AF74" s="76" t="str">
        <x:v>Search, labeling, ranking, moderation, alignment, and evaluator bias</x:v>
      </x:c>
      <x:c r="AG74" s="76" t="str">
        <x:v>NOT APPLICABLE</x:v>
      </x:c>
      <x:c r="AH74" s="76" t="str"/>
      <x:c r="AI74" s="76" t="str"/>
      <x:c r="AJ74" s="76" t="str"/>
      <x:c r="AK74" s="76" t="str">
        <x:v>NOT APPLICABLE</x:v>
      </x:c>
      <x:c r="AL74" s="76" t="str"/>
      <x:c r="AM74" s="76" t="str"/>
      <x:c r="AN74" s="76" t="str"/>
      <x:c r="AO74" s="76" t="str"/>
      <x:c r="AP74" s="76" t="str">
        <x:v>Research team</x:v>
      </x:c>
      <x:c r="AQ74" s="76" t="str">
        <x:v>GORGONWARS-PREMISE-1.0</x:v>
      </x:c>
      <x:c r="AR74" s="76" t="str"/>
      <x:c r="AS74" s="82" t="str">
        <x:f>IF(A74="","",IF(OR(E74="NOT APPLICABLE",E74="PREMISES UNRESOLVED"),"N/A",IF(OR(AND(F74&lt;&gt;"NO EVIDENCE",F74&lt;&gt;"NOT APPLICABLE",OR(AG74="",AH74="",AI74="",AJ74="",AG74="SYSTEM INFERENCE",AG74="ABSTRACT ONLY",AG74="SECONDARY REPORT",AG74="UNVERIFIED",AI74="Exact locator needed",AI74="HAU forum framing; exact target locator needed",AI74="Forum exchange; exact locator needed")),AND(G74&lt;&gt;"NO EVIDENCE",G74&lt;&gt;"NOT APPLICABLE",OR(AK74="",AL74="",AM74="",AN74="",AK74="SYSTEM INFERENCE",AK74="ABSTRACT ONLY",AK74="SECONDARY REPORT",AK74="UNVERIFIED",AM74="Exact locator needed",AM74="HAU forum framing; exact target locator needed",AM74="Forum exchange; exact locator needed"))),"EVIDENCE DEBT","READY")))</x:f>
        <x:v>N/A</x:v>
      </x:c>
      <x:c r="AT74" s="77" t="str"/>
    </x:row>
    <x:row r="75" ht="50" customHeight="1">
      <x:c r="A75" s="85" t="n">
        <x:v>70</x:v>
      </x:c>
      <x:c r="B75" s="73" t="str">
        <x:v>Active</x:v>
      </x:c>
      <x:c r="C75" s="89" t="n">
        <x:v>9</x:v>
      </x:c>
      <x:c r="D75" s="82" t="str">
        <x:f>IF(C75="","",IFERROR(VLOOKUP(C75,'Database controls'!$A$5:$B$20,2,FALSE),"NEW / UNCATEGORIZED"))</x:f>
        <x:v>AI ethics, scanner mechanisms, and pluralistic correctives</x:v>
      </x:c>
      <x:c r="E75" s="73" t="str">
        <x:v>NOT APPLICABLE</x:v>
      </x:c>
      <x:c r="F75" s="73" t="str">
        <x:v>NOT APPLICABLE</x:v>
      </x:c>
      <x:c r="G75" s="73" t="str">
        <x:v>NOT APPLICABLE</x:v>
      </x:c>
      <x:c r="H75" s="82" t="str">
        <x:f>IF(A75="","",IF(OR(F75="REJECTS",G75="REJECTS"),"OUTSIDE / EXCOMMUNICABLE",IF(AND(OR(F75="RETAINS",F75="RETAINS WITH QUALIFICATION"),OR(G75="RETAINS",G75="RETAINS WITH QUALIFICATION")),"INTERNAL GORGONWARS",IF(AND(F75="NOT APPLICABLE",G75="NOT APPLICABLE"),"NOT APPLICABLE","PREMISES UNRESOLVED"))))</x:f>
        <x:v>NOT APPLICABLE</x:v>
      </x:c>
      <x:c r="I75" s="82" t="str">
        <x:f>IF(A75="","",IF(E75=H75,"OK",IF(AO75&lt;&gt;"","OVERRIDDEN","REVIEW")))</x:f>
        <x:v>OK</x:v>
      </x:c>
      <x:c r="J75" s="73" t="str">
        <x:v>Bias audit of language models as evaluators</x:v>
      </x:c>
      <x:c r="K75" s="73" t="str">
        <x:v>AI / scanner mechanism only</x:v>
      </x:c>
      <x:c r="L75" s="73" t="str">
        <x:v>Conference paper</x:v>
      </x:c>
      <x:c r="M75" s="73" t="str">
        <x:v>Conference review</x:v>
      </x:c>
      <x:c r="N75" s="89" t="n">
        <x:v>2024</x:v>
      </x:c>
      <x:c r="O75" s="73" t="str">
        <x:v>Ryan Koo and colleagues</x:v>
      </x:c>
      <x:c r="P75" s="73" t="str">
        <x:v>Benchmarking Cognitive Biases in Large Language Models as Evaluators</x:v>
      </x:c>
      <x:c r="Q75" s="73" t="str">
        <x:v>Findings of ACL</x:v>
      </x:c>
      <x:c r="R75" s="73" t="str">
        <x:v>English</x:v>
      </x:c>
      <x:c r="S75" s="73" t="str">
        <x:v>LLM judges reproduce cognitive biases when scoring text, so automated evaluation can institutionalize distorted judgments.</x:v>
      </x:c>
      <x:c r="T75" s="73" t="str">
        <x:v>Benchmarks evaluator bias generally; it does not directly test the earlier #MeToo classification.</x:v>
      </x:c>
      <x:c r="U75" s="73" t="str">
        <x:v>Source record verified</x:v>
      </x:c>
      <x:c r="V75" s="73" t="str">
        <x:v>www.doi.org/10.18653/v1/2024.findings-acl.29</x:v>
      </x:c>
      <x:c r="W75" s="73" t="str">
        <x:v>10.18653/v1/2024.findings-acl.29</x:v>
      </x:c>
      <x:c r="X75" s="93" t="n">
        <x:v>46230</x:v>
      </x:c>
      <x:c r="Y75" s="93" t="n">
        <x:v>46230</x:v>
      </x:c>
      <x:c r="Z75" s="73" t="str"/>
      <x:c r="AA75" s="73" t="str"/>
      <x:c r="AB75" s="73" t="n">
        <x:v>70</x:v>
      </x:c>
      <x:c r="AC75" s="73" t="str">
        <x:v>SCANNER MECHANISM</x:v>
      </x:c>
      <x:c r="AD75" s="73" t="str">
        <x:v>MECHANISM / ADJACENT</x:v>
      </x:c>
      <x:c r="AE75" s="73" t="str">
        <x:v>NO</x:v>
      </x:c>
      <x:c r="AF75" s="73" t="str">
        <x:v>Search, labeling, ranking, moderation, alignment, and evaluator bias</x:v>
      </x:c>
      <x:c r="AG75" s="73" t="str">
        <x:v>NOT APPLICABLE</x:v>
      </x:c>
      <x:c r="AH75" s="73" t="str"/>
      <x:c r="AI75" s="73" t="str"/>
      <x:c r="AJ75" s="73" t="str"/>
      <x:c r="AK75" s="73" t="str">
        <x:v>NOT APPLICABLE</x:v>
      </x:c>
      <x:c r="AL75" s="73" t="str"/>
      <x:c r="AM75" s="73" t="str"/>
      <x:c r="AN75" s="73" t="str"/>
      <x:c r="AO75" s="73" t="str"/>
      <x:c r="AP75" s="73" t="str">
        <x:v>Research team</x:v>
      </x:c>
      <x:c r="AQ75" s="73" t="str">
        <x:v>GORGONWARS-PREMISE-1.0</x:v>
      </x:c>
      <x:c r="AR75" s="73" t="str"/>
      <x:c r="AS75" s="82" t="str">
        <x:f>IF(A75="","",IF(OR(E75="NOT APPLICABLE",E75="PREMISES UNRESOLVED"),"N/A",IF(OR(AND(F75&lt;&gt;"NO EVIDENCE",F75&lt;&gt;"NOT APPLICABLE",OR(AG75="",AH75="",AI75="",AJ75="",AG75="SYSTEM INFERENCE",AG75="ABSTRACT ONLY",AG75="SECONDARY REPORT",AG75="UNVERIFIED",AI75="Exact locator needed",AI75="HAU forum framing; exact target locator needed",AI75="Forum exchange; exact locator needed")),AND(G75&lt;&gt;"NO EVIDENCE",G75&lt;&gt;"NOT APPLICABLE",OR(AK75="",AL75="",AM75="",AN75="",AK75="SYSTEM INFERENCE",AK75="ABSTRACT ONLY",AK75="SECONDARY REPORT",AK75="UNVERIFIED",AM75="Exact locator needed",AM75="HAU forum framing; exact target locator needed",AM75="Forum exchange; exact locator needed"))),"EVIDENCE DEBT","READY")))</x:f>
        <x:v>N/A</x:v>
      </x:c>
      <x:c r="AT75" s="74" t="str"/>
    </x:row>
    <x:row r="76" ht="50" customHeight="1">
      <x:c r="A76" s="86" t="n">
        <x:v>71</x:v>
      </x:c>
      <x:c r="B76" s="76" t="str">
        <x:v>Active</x:v>
      </x:c>
      <x:c r="C76" s="90" t="n">
        <x:v>9</x:v>
      </x:c>
      <x:c r="D76" s="82" t="str">
        <x:f>IF(C76="","",IFERROR(VLOOKUP(C76,'Database controls'!$A$5:$B$20,2,FALSE),"NEW / UNCATEGORIZED"))</x:f>
        <x:v>AI ethics, scanner mechanisms, and pluralistic correctives</x:v>
      </x:c>
      <x:c r="E76" s="76" t="str">
        <x:v>NOT APPLICABLE</x:v>
      </x:c>
      <x:c r="F76" s="76" t="str">
        <x:v>NOT APPLICABLE</x:v>
      </x:c>
      <x:c r="G76" s="76" t="str">
        <x:v>NOT APPLICABLE</x:v>
      </x:c>
      <x:c r="H76" s="82" t="str">
        <x:f>IF(A76="","",IF(OR(F76="REJECTS",G76="REJECTS"),"OUTSIDE / EXCOMMUNICABLE",IF(AND(OR(F76="RETAINS",F76="RETAINS WITH QUALIFICATION"),OR(G76="RETAINS",G76="RETAINS WITH QUALIFICATION")),"INTERNAL GORGONWARS",IF(AND(F76="NOT APPLICABLE",G76="NOT APPLICABLE"),"NOT APPLICABLE","PREMISES UNRESOLVED"))))</x:f>
        <x:v>NOT APPLICABLE</x:v>
      </x:c>
      <x:c r="I76" s="82" t="str">
        <x:f>IF(A76="","",IF(E76=H76,"OK",IF(AO76&lt;&gt;"","OVERRIDDEN","REVIEW")))</x:f>
        <x:v>OK</x:v>
      </x:c>
      <x:c r="J76" s="76" t="str">
        <x:v>Position-bias audit of language-model evaluators</x:v>
      </x:c>
      <x:c r="K76" s="76" t="str">
        <x:v>AI / scanner mechanism only</x:v>
      </x:c>
      <x:c r="L76" s="76" t="str">
        <x:v>Conference paper</x:v>
      </x:c>
      <x:c r="M76" s="76" t="str">
        <x:v>Conference review</x:v>
      </x:c>
      <x:c r="N76" s="90" t="n">
        <x:v>2024</x:v>
      </x:c>
      <x:c r="O76" s="76" t="str">
        <x:v>Peiyi Wang and colleagues</x:v>
      </x:c>
      <x:c r="P76" s="76" t="str">
        <x:v>Large Language Models Are Not Fair Evaluators</x:v>
      </x:c>
      <x:c r="Q76" s="76" t="str">
        <x:v>Proceedings of ACL</x:v>
      </x:c>
      <x:c r="R76" s="76" t="str">
        <x:v>English</x:v>
      </x:c>
      <x:c r="S76" s="76" t="str">
        <x:v>LLM evaluators favor responses based on presentation order, so rankings can reflect position rather than quality.</x:v>
      </x:c>
      <x:c r="T76" s="76" t="str">
        <x:v>Tests order effects in model evaluation, not the substantive ideology of a particular research corpus.</x:v>
      </x:c>
      <x:c r="U76" s="76" t="str">
        <x:v>Source record verified</x:v>
      </x:c>
      <x:c r="V76" s="76" t="str">
        <x:v>www.doi.org/10.18653/v1/2024.acl-long.511</x:v>
      </x:c>
      <x:c r="W76" s="76" t="str">
        <x:v>10.18653/v1/2024.acl-long.511</x:v>
      </x:c>
      <x:c r="X76" s="94" t="n">
        <x:v>46230</x:v>
      </x:c>
      <x:c r="Y76" s="94" t="n">
        <x:v>46230</x:v>
      </x:c>
      <x:c r="Z76" s="76" t="str"/>
      <x:c r="AA76" s="76" t="str"/>
      <x:c r="AB76" s="76" t="n">
        <x:v>71</x:v>
      </x:c>
      <x:c r="AC76" s="76" t="str">
        <x:v>SCANNER MECHANISM</x:v>
      </x:c>
      <x:c r="AD76" s="76" t="str">
        <x:v>MECHANISM / ADJACENT</x:v>
      </x:c>
      <x:c r="AE76" s="76" t="str">
        <x:v>NO</x:v>
      </x:c>
      <x:c r="AF76" s="76" t="str">
        <x:v>Search, labeling, ranking, moderation, alignment, and evaluator bias</x:v>
      </x:c>
      <x:c r="AG76" s="76" t="str">
        <x:v>NOT APPLICABLE</x:v>
      </x:c>
      <x:c r="AH76" s="76" t="str"/>
      <x:c r="AI76" s="76" t="str"/>
      <x:c r="AJ76" s="76" t="str"/>
      <x:c r="AK76" s="76" t="str">
        <x:v>NOT APPLICABLE</x:v>
      </x:c>
      <x:c r="AL76" s="76" t="str"/>
      <x:c r="AM76" s="76" t="str"/>
      <x:c r="AN76" s="76" t="str"/>
      <x:c r="AO76" s="76" t="str"/>
      <x:c r="AP76" s="76" t="str">
        <x:v>Research team</x:v>
      </x:c>
      <x:c r="AQ76" s="76" t="str">
        <x:v>GORGONWARS-PREMISE-1.0</x:v>
      </x:c>
      <x:c r="AR76" s="76" t="str"/>
      <x:c r="AS76" s="82" t="str">
        <x:f>IF(A76="","",IF(OR(E76="NOT APPLICABLE",E76="PREMISES UNRESOLVED"),"N/A",IF(OR(AND(F76&lt;&gt;"NO EVIDENCE",F76&lt;&gt;"NOT APPLICABLE",OR(AG76="",AH76="",AI76="",AJ76="",AG76="SYSTEM INFERENCE",AG76="ABSTRACT ONLY",AG76="SECONDARY REPORT",AG76="UNVERIFIED",AI76="Exact locator needed",AI76="HAU forum framing; exact target locator needed",AI76="Forum exchange; exact locator needed")),AND(G76&lt;&gt;"NO EVIDENCE",G76&lt;&gt;"NOT APPLICABLE",OR(AK76="",AL76="",AM76="",AN76="",AK76="SYSTEM INFERENCE",AK76="ABSTRACT ONLY",AK76="SECONDARY REPORT",AK76="UNVERIFIED",AM76="Exact locator needed",AM76="HAU forum framing; exact target locator needed",AM76="Forum exchange; exact locator needed"))),"EVIDENCE DEBT","READY")))</x:f>
        <x:v>N/A</x:v>
      </x:c>
      <x:c r="AT76" s="77" t="str"/>
    </x:row>
    <x:row r="77" ht="50" customHeight="1">
      <x:c r="A77" s="85" t="n">
        <x:v>72</x:v>
      </x:c>
      <x:c r="B77" s="73" t="str">
        <x:v>Active</x:v>
      </x:c>
      <x:c r="C77" s="89" t="n">
        <x:v>9</x:v>
      </x:c>
      <x:c r="D77" s="82" t="str">
        <x:f>IF(C77="","",IFERROR(VLOOKUP(C77,'Database controls'!$A$5:$B$20,2,FALSE),"NEW / UNCATEGORIZED"))</x:f>
        <x:v>AI ethics, scanner mechanisms, and pluralistic correctives</x:v>
      </x:c>
      <x:c r="E77" s="73" t="str">
        <x:v>NOT APPLICABLE</x:v>
      </x:c>
      <x:c r="F77" s="73" t="str">
        <x:v>NOT APPLICABLE</x:v>
      </x:c>
      <x:c r="G77" s="73" t="str">
        <x:v>NOT APPLICABLE</x:v>
      </x:c>
      <x:c r="H77" s="82" t="str">
        <x:f>IF(A77="","",IF(OR(F77="REJECTS",G77="REJECTS"),"OUTSIDE / EXCOMMUNICABLE",IF(AND(OR(F77="RETAINS",F77="RETAINS WITH QUALIFICATION"),OR(G77="RETAINS",G77="RETAINS WITH QUALIFICATION")),"INTERNAL GORGONWARS",IF(AND(F77="NOT APPLICABLE",G77="NOT APPLICABLE"),"NOT APPLICABLE","PREMISES UNRESOLVED"))))</x:f>
        <x:v>NOT APPLICABLE</x:v>
      </x:c>
      <x:c r="I77" s="82" t="str">
        <x:f>IF(A77="","",IF(E77=H77,"OK",IF(AO77&lt;&gt;"","OVERRIDDEN","REVIEW")))</x:f>
        <x:v>OK</x:v>
      </x:c>
      <x:c r="J77" s="73" t="str">
        <x:v>Public-input alignment implementation evidence</x:v>
      </x:c>
      <x:c r="K77" s="73" t="str">
        <x:v>AI / scanner mechanism only</x:v>
      </x:c>
      <x:c r="L77" s="73" t="str">
        <x:v>Institutional document</x:v>
      </x:c>
      <x:c r="M77" s="73" t="str">
        <x:v>Institutional publication</x:v>
      </x:c>
      <x:c r="N77" s="89" t="n">
        <x:v>2025</x:v>
      </x:c>
      <x:c r="O77" s="73" t="str">
        <x:v>OpenAI</x:v>
      </x:c>
      <x:c r="P77" s="73" t="str">
        <x:v>Collective alignment: public input on our Model Spec</x:v>
      </x:c>
      <x:c r="Q77" s="73" t="str">
        <x:v>OpenAI</x:v>
      </x:c>
      <x:c r="R77" s="73" t="str">
        <x:v>English</x:v>
      </x:c>
      <x:c r="S77" s="73" t="str">
        <x:v>Public input can broaden model rules, while prompt selection, ranker interpretation, base-model dependence, and production gaps can still distort the resulting consensus.</x:v>
      </x:c>
      <x:c r="T77" s="73" t="str">
        <x:v>A company report about an alignment exercise, not an independent audit of deployed behavior.</x:v>
      </x:c>
      <x:c r="U77" s="73" t="str">
        <x:v>Source record verified</x:v>
      </x:c>
      <x:c r="V77" s="73" t="str">
        <x:v>www.openai.com/index/collective-alignment-aug-2025-updates/</x:v>
      </x:c>
      <x:c r="W77" s="73" t="str"/>
      <x:c r="X77" s="93" t="n">
        <x:v>46230</x:v>
      </x:c>
      <x:c r="Y77" s="93" t="n">
        <x:v>46230</x:v>
      </x:c>
      <x:c r="Z77" s="73" t="str"/>
      <x:c r="AA77" s="73" t="str"/>
      <x:c r="AB77" s="73" t="n">
        <x:v>72</x:v>
      </x:c>
      <x:c r="AC77" s="73" t="str">
        <x:v>SCANNER MECHANISM</x:v>
      </x:c>
      <x:c r="AD77" s="73" t="str">
        <x:v>MECHANISM / ADJACENT</x:v>
      </x:c>
      <x:c r="AE77" s="73" t="str">
        <x:v>NO</x:v>
      </x:c>
      <x:c r="AF77" s="73" t="str">
        <x:v>Search, labeling, ranking, moderation, alignment, and evaluator bias</x:v>
      </x:c>
      <x:c r="AG77" s="73" t="str">
        <x:v>NOT APPLICABLE</x:v>
      </x:c>
      <x:c r="AH77" s="73" t="str"/>
      <x:c r="AI77" s="73" t="str"/>
      <x:c r="AJ77" s="73" t="str"/>
      <x:c r="AK77" s="73" t="str">
        <x:v>NOT APPLICABLE</x:v>
      </x:c>
      <x:c r="AL77" s="73" t="str"/>
      <x:c r="AM77" s="73" t="str"/>
      <x:c r="AN77" s="73" t="str"/>
      <x:c r="AO77" s="73" t="str"/>
      <x:c r="AP77" s="73" t="str">
        <x:v>Research team</x:v>
      </x:c>
      <x:c r="AQ77" s="73" t="str">
        <x:v>GORGONWARS-PREMISE-1.0</x:v>
      </x:c>
      <x:c r="AR77" s="73" t="str"/>
      <x:c r="AS77" s="82" t="str">
        <x:f>IF(A77="","",IF(OR(E77="NOT APPLICABLE",E77="PREMISES UNRESOLVED"),"N/A",IF(OR(AND(F77&lt;&gt;"NO EVIDENCE",F77&lt;&gt;"NOT APPLICABLE",OR(AG77="",AH77="",AI77="",AJ77="",AG77="SYSTEM INFERENCE",AG77="ABSTRACT ONLY",AG77="SECONDARY REPORT",AG77="UNVERIFIED",AI77="Exact locator needed",AI77="HAU forum framing; exact target locator needed",AI77="Forum exchange; exact locator needed")),AND(G77&lt;&gt;"NO EVIDENCE",G77&lt;&gt;"NOT APPLICABLE",OR(AK77="",AL77="",AM77="",AN77="",AK77="SYSTEM INFERENCE",AK77="ABSTRACT ONLY",AK77="SECONDARY REPORT",AK77="UNVERIFIED",AM77="Exact locator needed",AM77="HAU forum framing; exact target locator needed",AM77="Forum exchange; exact locator needed"))),"EVIDENCE DEBT","READY")))</x:f>
        <x:v>N/A</x:v>
      </x:c>
      <x:c r="AT77" s="74" t="str"/>
    </x:row>
    <x:row r="78" ht="50" customHeight="1">
      <x:c r="A78" s="86" t="n">
        <x:v>73</x:v>
      </x:c>
      <x:c r="B78" s="76" t="str">
        <x:v>Active</x:v>
      </x:c>
      <x:c r="C78" s="90" t="n">
        <x:v>9</x:v>
      </x:c>
      <x:c r="D78" s="82" t="str">
        <x:f>IF(C78="","",IFERROR(VLOOKUP(C78,'Database controls'!$A$5:$B$20,2,FALSE),"NEW / UNCATEGORIZED"))</x:f>
        <x:v>AI ethics, scanner mechanisms, and pluralistic correctives</x:v>
      </x:c>
      <x:c r="E78" s="76" t="str">
        <x:v>NOT APPLICABLE</x:v>
      </x:c>
      <x:c r="F78" s="76" t="str">
        <x:v>NOT APPLICABLE</x:v>
      </x:c>
      <x:c r="G78" s="76" t="str">
        <x:v>NOT APPLICABLE</x:v>
      </x:c>
      <x:c r="H78" s="82" t="str">
        <x:f>IF(A78="","",IF(OR(F78="REJECTS",G78="REJECTS"),"OUTSIDE / EXCOMMUNICABLE",IF(AND(OR(F78="RETAINS",F78="RETAINS WITH QUALIFICATION"),OR(G78="RETAINS",G78="RETAINS WITH QUALIFICATION")),"INTERNAL GORGONWARS",IF(AND(F78="NOT APPLICABLE",G78="NOT APPLICABLE"),"NOT APPLICABLE","PREMISES UNRESOLVED"))))</x:f>
        <x:v>NOT APPLICABLE</x:v>
      </x:c>
      <x:c r="I78" s="82" t="str">
        <x:f>IF(A78="","",IF(E78=H78,"OK",IF(AO78&lt;&gt;"","OVERRIDDEN","REVIEW")))</x:f>
        <x:v>OK</x:v>
      </x:c>
      <x:c r="J78" s="76" t="str">
        <x:v>Published normative behavior specification</x:v>
      </x:c>
      <x:c r="K78" s="76" t="str">
        <x:v>AI / scanner mechanism only</x:v>
      </x:c>
      <x:c r="L78" s="76" t="str">
        <x:v>Institutional document</x:v>
      </x:c>
      <x:c r="M78" s="76" t="str">
        <x:v>Institutional publication</x:v>
      </x:c>
      <x:c r="N78" s="90" t="n">
        <x:v>2025</x:v>
      </x:c>
      <x:c r="O78" s="76" t="str">
        <x:v>OpenAI</x:v>
      </x:c>
      <x:c r="P78" s="76" t="str">
        <x:v>Model Spec 2025-09-12</x:v>
      </x:c>
      <x:c r="Q78" s="76" t="str">
        <x:v>OpenAI Model Spec</x:v>
      </x:c>
      <x:c r="R78" s="76" t="str">
        <x:v>English</x:v>
      </x:c>
      <x:c r="S78" s="76" t="str">
        <x:v>The intended assistant should pursue objectivity and broad opinion coverage, while published behavior goals remain distinct from achieved production behavior.</x:v>
      </x:c>
      <x:c r="T78" s="76" t="str">
        <x:v>A normative specification, not empirical evidence that production systems satisfy it.</x:v>
      </x:c>
      <x:c r="U78" s="76" t="str">
        <x:v>Source record verified</x:v>
      </x:c>
      <x:c r="V78" s="76" t="str">
        <x:v>www.model-spec.openai.com/2025-09-12.html</x:v>
      </x:c>
      <x:c r="W78" s="76" t="str"/>
      <x:c r="X78" s="94" t="n">
        <x:v>46230</x:v>
      </x:c>
      <x:c r="Y78" s="94" t="n">
        <x:v>46230</x:v>
      </x:c>
      <x:c r="Z78" s="76" t="str"/>
      <x:c r="AA78" s="76" t="str"/>
      <x:c r="AB78" s="76" t="n">
        <x:v>73</x:v>
      </x:c>
      <x:c r="AC78" s="76" t="str">
        <x:v>SCANNER MECHANISM</x:v>
      </x:c>
      <x:c r="AD78" s="76" t="str">
        <x:v>MECHANISM / ADJACENT</x:v>
      </x:c>
      <x:c r="AE78" s="76" t="str">
        <x:v>NO</x:v>
      </x:c>
      <x:c r="AF78" s="76" t="str">
        <x:v>Search, labeling, ranking, moderation, alignment, and evaluator bias</x:v>
      </x:c>
      <x:c r="AG78" s="76" t="str">
        <x:v>NOT APPLICABLE</x:v>
      </x:c>
      <x:c r="AH78" s="76" t="str"/>
      <x:c r="AI78" s="76" t="str"/>
      <x:c r="AJ78" s="76" t="str"/>
      <x:c r="AK78" s="76" t="str">
        <x:v>NOT APPLICABLE</x:v>
      </x:c>
      <x:c r="AL78" s="76" t="str"/>
      <x:c r="AM78" s="76" t="str"/>
      <x:c r="AN78" s="76" t="str"/>
      <x:c r="AO78" s="76" t="str"/>
      <x:c r="AP78" s="76" t="str">
        <x:v>Research team</x:v>
      </x:c>
      <x:c r="AQ78" s="76" t="str">
        <x:v>GORGONWARS-PREMISE-1.0</x:v>
      </x:c>
      <x:c r="AR78" s="76" t="str"/>
      <x:c r="AS78" s="82" t="str">
        <x:f>IF(A78="","",IF(OR(E78="NOT APPLICABLE",E78="PREMISES UNRESOLVED"),"N/A",IF(OR(AND(F78&lt;&gt;"NO EVIDENCE",F78&lt;&gt;"NOT APPLICABLE",OR(AG78="",AH78="",AI78="",AJ78="",AG78="SYSTEM INFERENCE",AG78="ABSTRACT ONLY",AG78="SECONDARY REPORT",AG78="UNVERIFIED",AI78="Exact locator needed",AI78="HAU forum framing; exact target locator needed",AI78="Forum exchange; exact locator needed")),AND(G78&lt;&gt;"NO EVIDENCE",G78&lt;&gt;"NOT APPLICABLE",OR(AK78="",AL78="",AM78="",AN78="",AK78="SYSTEM INFERENCE",AK78="ABSTRACT ONLY",AK78="SECONDARY REPORT",AK78="UNVERIFIED",AM78="Exact locator needed",AM78="HAU forum framing; exact target locator needed",AM78="Forum exchange; exact locator needed"))),"EVIDENCE DEBT","READY")))</x:f>
        <x:v>N/A</x:v>
      </x:c>
      <x:c r="AT78" s="77" t="str"/>
    </x:row>
    <x:row r="79" ht="50" customHeight="1">
      <x:c r="A79" s="85" t="n">
        <x:v>74</x:v>
      </x:c>
      <x:c r="B79" s="73" t="str">
        <x:v>Active</x:v>
      </x:c>
      <x:c r="C79" s="89" t="n">
        <x:v>9</x:v>
      </x:c>
      <x:c r="D79" s="82" t="str">
        <x:f>IF(C79="","",IFERROR(VLOOKUP(C79,'Database controls'!$A$5:$B$20,2,FALSE),"NEW / UNCATEGORIZED"))</x:f>
        <x:v>AI ethics, scanner mechanisms, and pluralistic correctives</x:v>
      </x:c>
      <x:c r="E79" s="73" t="str">
        <x:v>NOT APPLICABLE</x:v>
      </x:c>
      <x:c r="F79" s="73" t="str">
        <x:v>NOT APPLICABLE</x:v>
      </x:c>
      <x:c r="G79" s="73" t="str">
        <x:v>NOT APPLICABLE</x:v>
      </x:c>
      <x:c r="H79" s="82" t="str">
        <x:f>IF(A79="","",IF(OR(F79="REJECTS",G79="REJECTS"),"OUTSIDE / EXCOMMUNICABLE",IF(AND(OR(F79="RETAINS",F79="RETAINS WITH QUALIFICATION"),OR(G79="RETAINS",G79="RETAINS WITH QUALIFICATION")),"INTERNAL GORGONWARS",IF(AND(F79="NOT APPLICABLE",G79="NOT APPLICABLE"),"NOT APPLICABLE","PREMISES UNRESOLVED"))))</x:f>
        <x:v>NOT APPLICABLE</x:v>
      </x:c>
      <x:c r="I79" s="82" t="str">
        <x:f>IF(A79="","",IF(E79=H79,"OK",IF(AO79&lt;&gt;"","OVERRIDDEN","REVIEW")))</x:f>
        <x:v>OK</x:v>
      </x:c>
      <x:c r="J79" s="73" t="str">
        <x:v>Pluralistic-alignment research roadmap</x:v>
      </x:c>
      <x:c r="K79" s="73" t="str">
        <x:v>AI / scanner mechanism only</x:v>
      </x:c>
      <x:c r="L79" s="73" t="str">
        <x:v>Conference paper</x:v>
      </x:c>
      <x:c r="M79" s="73" t="str">
        <x:v>Conference review</x:v>
      </x:c>
      <x:c r="N79" s="89" t="n">
        <x:v>2024</x:v>
      </x:c>
      <x:c r="O79" s="73" t="str">
        <x:v>Taylor Sorensen and colleagues</x:v>
      </x:c>
      <x:c r="P79" s="73" t="str">
        <x:v>Position: A Roadmap to Pluralistic Alignment</x:v>
      </x:c>
      <x:c r="Q79" s="73" t="str">
        <x:v>Proceedings of ICML</x:v>
      </x:c>
      <x:c r="R79" s="73" t="str">
        <x:v>English</x:v>
      </x:c>
      <x:c r="S79" s="73" t="str">
        <x:v>Single-answer alignment compresses legitimate value differences, so systems should support steerable, distributional, Overton-window, and jury-style pluralism.</x:v>
      </x:c>
      <x:c r="T79" s="73" t="str">
        <x:v>A position paper and roadmap, not proof that any one pluralistic method resolves value conflict.</x:v>
      </x:c>
      <x:c r="U79" s="73" t="str">
        <x:v>Source record verified</x:v>
      </x:c>
      <x:c r="V79" s="73" t="str">
        <x:v>www.proceedings.mlr.press/v235/sorensen24a.html</x:v>
      </x:c>
      <x:c r="W79" s="73" t="str"/>
      <x:c r="X79" s="93" t="n">
        <x:v>46230</x:v>
      </x:c>
      <x:c r="Y79" s="93" t="n">
        <x:v>46230</x:v>
      </x:c>
      <x:c r="Z79" s="73" t="str"/>
      <x:c r="AA79" s="73" t="str"/>
      <x:c r="AB79" s="73" t="n">
        <x:v>74</x:v>
      </x:c>
      <x:c r="AC79" s="73" t="str">
        <x:v>METHODOLOGICAL CORRECTIVE</x:v>
      </x:c>
      <x:c r="AD79" s="73" t="str">
        <x:v>MECHANISM / ADJACENT</x:v>
      </x:c>
      <x:c r="AE79" s="73" t="str">
        <x:v>NO</x:v>
      </x:c>
      <x:c r="AF79" s="73" t="str">
        <x:v>Search, labeling, ranking, moderation, alignment, and evaluator bias</x:v>
      </x:c>
      <x:c r="AG79" s="73" t="str">
        <x:v>NOT APPLICABLE</x:v>
      </x:c>
      <x:c r="AH79" s="73" t="str"/>
      <x:c r="AI79" s="73" t="str"/>
      <x:c r="AJ79" s="73" t="str"/>
      <x:c r="AK79" s="73" t="str">
        <x:v>NOT APPLICABLE</x:v>
      </x:c>
      <x:c r="AL79" s="73" t="str"/>
      <x:c r="AM79" s="73" t="str"/>
      <x:c r="AN79" s="73" t="str"/>
      <x:c r="AO79" s="73" t="str"/>
      <x:c r="AP79" s="73" t="str">
        <x:v>Research team</x:v>
      </x:c>
      <x:c r="AQ79" s="73" t="str">
        <x:v>GORGONWARS-PREMISE-1.0</x:v>
      </x:c>
      <x:c r="AR79" s="73" t="str"/>
      <x:c r="AS79" s="82" t="str">
        <x:f>IF(A79="","",IF(OR(E79="NOT APPLICABLE",E79="PREMISES UNRESOLVED"),"N/A",IF(OR(AND(F79&lt;&gt;"NO EVIDENCE",F79&lt;&gt;"NOT APPLICABLE",OR(AG79="",AH79="",AI79="",AJ79="",AG79="SYSTEM INFERENCE",AG79="ABSTRACT ONLY",AG79="SECONDARY REPORT",AG79="UNVERIFIED",AI79="Exact locator needed",AI79="HAU forum framing; exact target locator needed",AI79="Forum exchange; exact locator needed")),AND(G79&lt;&gt;"NO EVIDENCE",G79&lt;&gt;"NOT APPLICABLE",OR(AK79="",AL79="",AM79="",AN79="",AK79="SYSTEM INFERENCE",AK79="ABSTRACT ONLY",AK79="SECONDARY REPORT",AK79="UNVERIFIED",AM79="Exact locator needed",AM79="HAU forum framing; exact target locator needed",AM79="Forum exchange; exact locator needed"))),"EVIDENCE DEBT","READY")))</x:f>
        <x:v>N/A</x:v>
      </x:c>
      <x:c r="AT79" s="74" t="str"/>
    </x:row>
    <x:row r="80" ht="50" customHeight="1">
      <x:c r="A80" s="86" t="n">
        <x:v>75</x:v>
      </x:c>
      <x:c r="B80" s="76" t="str">
        <x:v>Active</x:v>
      </x:c>
      <x:c r="C80" s="90" t="n">
        <x:v>9</x:v>
      </x:c>
      <x:c r="D80" s="82" t="str">
        <x:f>IF(C80="","",IFERROR(VLOOKUP(C80,'Database controls'!$A$5:$B$20,2,FALSE),"NEW / UNCATEGORIZED"))</x:f>
        <x:v>AI ethics, scanner mechanisms, and pluralistic correctives</x:v>
      </x:c>
      <x:c r="E80" s="76" t="str">
        <x:v>NOT APPLICABLE</x:v>
      </x:c>
      <x:c r="F80" s="76" t="str">
        <x:v>NOT APPLICABLE</x:v>
      </x:c>
      <x:c r="G80" s="76" t="str">
        <x:v>NOT APPLICABLE</x:v>
      </x:c>
      <x:c r="H80" s="82" t="str">
        <x:f>IF(A80="","",IF(OR(F80="REJECTS",G80="REJECTS"),"OUTSIDE / EXCOMMUNICABLE",IF(AND(OR(F80="RETAINS",F80="RETAINS WITH QUALIFICATION"),OR(G80="RETAINS",G80="RETAINS WITH QUALIFICATION")),"INTERNAL GORGONWARS",IF(AND(F80="NOT APPLICABLE",G80="NOT APPLICABLE"),"NOT APPLICABLE","PREMISES UNRESOLVED"))))</x:f>
        <x:v>NOT APPLICABLE</x:v>
      </x:c>
      <x:c r="I80" s="82" t="str">
        <x:f>IF(A80="","",IF(E80=H80,"OK",IF(AO80&lt;&gt;"","OVERRIDDEN","REVIEW")))</x:f>
        <x:v>OK</x:v>
      </x:c>
      <x:c r="J80" s="76" t="str">
        <x:v>Diverse-preference alignment dataset</x:v>
      </x:c>
      <x:c r="K80" s="76" t="str">
        <x:v>AI / scanner mechanism only</x:v>
      </x:c>
      <x:c r="L80" s="76" t="str">
        <x:v>Conference paper</x:v>
      </x:c>
      <x:c r="M80" s="76" t="str">
        <x:v>Conference review</x:v>
      </x:c>
      <x:c r="N80" s="90" t="n">
        <x:v>2024</x:v>
      </x:c>
      <x:c r="O80" s="76" t="str">
        <x:v>Hannah Rose Kirk and colleagues</x:v>
      </x:c>
      <x:c r="P80" s="76" t="str">
        <x:v>The PRISM Alignment Dataset</x:v>
      </x:c>
      <x:c r="Q80" s="76" t="str">
        <x:v>NeurIPS</x:v>
      </x:c>
      <x:c r="R80" s="76" t="str">
        <x:v>English</x:v>
      </x:c>
      <x:c r="S80" s="76" t="str">
        <x:v>A global dataset linking 1,500 participants’ backgrounds to 8,011 conversations shows that who supplies feedback changes what alignment data mean.</x:v>
      </x:c>
      <x:c r="T80" s="76" t="str">
        <x:v>A dataset and benchmark resource; it does not guarantee downstream systems will preserve that plurality.</x:v>
      </x:c>
      <x:c r="U80" s="76" t="str">
        <x:v>Source record verified</x:v>
      </x:c>
      <x:c r="V80" s="76" t="str">
        <x:v>www.doi.org/10.52202/079017-3342</x:v>
      </x:c>
      <x:c r="W80" s="76" t="str">
        <x:v>10.52202/079017-3342</x:v>
      </x:c>
      <x:c r="X80" s="94" t="n">
        <x:v>46230</x:v>
      </x:c>
      <x:c r="Y80" s="94" t="n">
        <x:v>46230</x:v>
      </x:c>
      <x:c r="Z80" s="76" t="str"/>
      <x:c r="AA80" s="76" t="str"/>
      <x:c r="AB80" s="76" t="n">
        <x:v>75</x:v>
      </x:c>
      <x:c r="AC80" s="76" t="str">
        <x:v>METHODOLOGICAL CORRECTIVE</x:v>
      </x:c>
      <x:c r="AD80" s="76" t="str">
        <x:v>MECHANISM / ADJACENT</x:v>
      </x:c>
      <x:c r="AE80" s="76" t="str">
        <x:v>NO</x:v>
      </x:c>
      <x:c r="AF80" s="76" t="str">
        <x:v>Search, labeling, ranking, moderation, alignment, and evaluator bias</x:v>
      </x:c>
      <x:c r="AG80" s="76" t="str">
        <x:v>NOT APPLICABLE</x:v>
      </x:c>
      <x:c r="AH80" s="76" t="str"/>
      <x:c r="AI80" s="76" t="str"/>
      <x:c r="AJ80" s="76" t="str"/>
      <x:c r="AK80" s="76" t="str">
        <x:v>NOT APPLICABLE</x:v>
      </x:c>
      <x:c r="AL80" s="76" t="str"/>
      <x:c r="AM80" s="76" t="str"/>
      <x:c r="AN80" s="76" t="str"/>
      <x:c r="AO80" s="76" t="str"/>
      <x:c r="AP80" s="76" t="str">
        <x:v>Research team</x:v>
      </x:c>
      <x:c r="AQ80" s="76" t="str">
        <x:v>GORGONWARS-PREMISE-1.0</x:v>
      </x:c>
      <x:c r="AR80" s="76" t="str"/>
      <x:c r="AS80" s="82" t="str">
        <x:f>IF(A80="","",IF(OR(E80="NOT APPLICABLE",E80="PREMISES UNRESOLVED"),"N/A",IF(OR(AND(F80&lt;&gt;"NO EVIDENCE",F80&lt;&gt;"NOT APPLICABLE",OR(AG80="",AH80="",AI80="",AJ80="",AG80="SYSTEM INFERENCE",AG80="ABSTRACT ONLY",AG80="SECONDARY REPORT",AG80="UNVERIFIED",AI80="Exact locator needed",AI80="HAU forum framing; exact target locator needed",AI80="Forum exchange; exact locator needed")),AND(G80&lt;&gt;"NO EVIDENCE",G80&lt;&gt;"NOT APPLICABLE",OR(AK80="",AL80="",AM80="",AN80="",AK80="SYSTEM INFERENCE",AK80="ABSTRACT ONLY",AK80="SECONDARY REPORT",AK80="UNVERIFIED",AM80="Exact locator needed",AM80="HAU forum framing; exact target locator needed",AM80="Forum exchange; exact locator needed"))),"EVIDENCE DEBT","READY")))</x:f>
        <x:v>N/A</x:v>
      </x:c>
      <x:c r="AT80" s="77" t="str"/>
    </x:row>
    <x:row r="81" ht="50" customHeight="1">
      <x:c r="A81" s="85" t="n">
        <x:v>76</x:v>
      </x:c>
      <x:c r="B81" s="73" t="str">
        <x:v>Active</x:v>
      </x:c>
      <x:c r="C81" s="89" t="n">
        <x:v>9</x:v>
      </x:c>
      <x:c r="D81" s="82" t="str">
        <x:f>IF(C81="","",IFERROR(VLOOKUP(C81,'Database controls'!$A$5:$B$20,2,FALSE),"NEW / UNCATEGORIZED"))</x:f>
        <x:v>AI ethics, scanner mechanisms, and pluralistic correctives</x:v>
      </x:c>
      <x:c r="E81" s="73" t="str">
        <x:v>NOT APPLICABLE</x:v>
      </x:c>
      <x:c r="F81" s="73" t="str">
        <x:v>NOT APPLICABLE</x:v>
      </x:c>
      <x:c r="G81" s="73" t="str">
        <x:v>NOT APPLICABLE</x:v>
      </x:c>
      <x:c r="H81" s="82" t="str">
        <x:f>IF(A81="","",IF(OR(F81="REJECTS",G81="REJECTS"),"OUTSIDE / EXCOMMUNICABLE",IF(AND(OR(F81="RETAINS",F81="RETAINS WITH QUALIFICATION"),OR(G81="RETAINS",G81="RETAINS WITH QUALIFICATION")),"INTERNAL GORGONWARS",IF(AND(F81="NOT APPLICABLE",G81="NOT APPLICABLE"),"NOT APPLICABLE","PREMISES UNRESOLVED"))))</x:f>
        <x:v>NOT APPLICABLE</x:v>
      </x:c>
      <x:c r="I81" s="82" t="str">
        <x:f>IF(A81="","",IF(E81=H81,"OK",IF(AO81&lt;&gt;"","OVERRIDDEN","REVIEW")))</x:f>
        <x:v>OK</x:v>
      </x:c>
      <x:c r="J81" s="73" t="str">
        <x:v>Diverse safety-evaluation dataset</x:v>
      </x:c>
      <x:c r="K81" s="73" t="str">
        <x:v>AI / scanner mechanism only</x:v>
      </x:c>
      <x:c r="L81" s="73" t="str">
        <x:v>Conference paper</x:v>
      </x:c>
      <x:c r="M81" s="73" t="str">
        <x:v>Conference review</x:v>
      </x:c>
      <x:c r="N81" s="89" t="n">
        <x:v>2023</x:v>
      </x:c>
      <x:c r="O81" s="73" t="str">
        <x:v>Lora Aroyo and colleagues</x:v>
      </x:c>
      <x:c r="P81" s="73" t="str">
        <x:v>DICES Dataset: Diversity in Conversational AI Evaluation for Safety</x:v>
      </x:c>
      <x:c r="Q81" s="73" t="str">
        <x:v>NeurIPS Datasets and Benchmarks</x:v>
      </x:c>
      <x:c r="R81" s="73" t="str">
        <x:v>English</x:v>
      </x:c>
      <x:c r="S81" s="73" t="str">
        <x:v>Safety judgments vary socially and culturally, so DICES preserves individual rater votes and demographics rather than collapsing them into one label.</x:v>
      </x:c>
      <x:c r="T81" s="73" t="str">
        <x:v>Preserving disagreement improves auditability but does not decide which safety judgment should govern.</x:v>
      </x:c>
      <x:c r="U81" s="73" t="str">
        <x:v>Source record verified</x:v>
      </x:c>
      <x:c r="V81" s="73" t="str">
        <x:v>www.research.google/pubs/dices-dataset-diversity-in-conversational-ai-evaluation-for-safety/</x:v>
      </x:c>
      <x:c r="W81" s="73" t="str"/>
      <x:c r="X81" s="93" t="n">
        <x:v>46230</x:v>
      </x:c>
      <x:c r="Y81" s="93" t="n">
        <x:v>46230</x:v>
      </x:c>
      <x:c r="Z81" s="73" t="str"/>
      <x:c r="AA81" s="73" t="str"/>
      <x:c r="AB81" s="73" t="n">
        <x:v>76</x:v>
      </x:c>
      <x:c r="AC81" s="73" t="str">
        <x:v>METHODOLOGICAL CORRECTIVE</x:v>
      </x:c>
      <x:c r="AD81" s="73" t="str">
        <x:v>MECHANISM / ADJACENT</x:v>
      </x:c>
      <x:c r="AE81" s="73" t="str">
        <x:v>NO</x:v>
      </x:c>
      <x:c r="AF81" s="73" t="str">
        <x:v>Search, labeling, ranking, moderation, alignment, and evaluator bias</x:v>
      </x:c>
      <x:c r="AG81" s="73" t="str">
        <x:v>NOT APPLICABLE</x:v>
      </x:c>
      <x:c r="AH81" s="73" t="str"/>
      <x:c r="AI81" s="73" t="str"/>
      <x:c r="AJ81" s="73" t="str"/>
      <x:c r="AK81" s="73" t="str">
        <x:v>NOT APPLICABLE</x:v>
      </x:c>
      <x:c r="AL81" s="73" t="str"/>
      <x:c r="AM81" s="73" t="str"/>
      <x:c r="AN81" s="73" t="str"/>
      <x:c r="AO81" s="73" t="str"/>
      <x:c r="AP81" s="73" t="str">
        <x:v>Research team</x:v>
      </x:c>
      <x:c r="AQ81" s="73" t="str">
        <x:v>GORGONWARS-PREMISE-1.0</x:v>
      </x:c>
      <x:c r="AR81" s="73" t="str"/>
      <x:c r="AS81" s="82" t="str">
        <x:f>IF(A81="","",IF(OR(E81="NOT APPLICABLE",E81="PREMISES UNRESOLVED"),"N/A",IF(OR(AND(F81&lt;&gt;"NO EVIDENCE",F81&lt;&gt;"NOT APPLICABLE",OR(AG81="",AH81="",AI81="",AJ81="",AG81="SYSTEM INFERENCE",AG81="ABSTRACT ONLY",AG81="SECONDARY REPORT",AG81="UNVERIFIED",AI81="Exact locator needed",AI81="HAU forum framing; exact target locator needed",AI81="Forum exchange; exact locator needed")),AND(G81&lt;&gt;"NO EVIDENCE",G81&lt;&gt;"NOT APPLICABLE",OR(AK81="",AL81="",AM81="",AN81="",AK81="SYSTEM INFERENCE",AK81="ABSTRACT ONLY",AK81="SECONDARY REPORT",AK81="UNVERIFIED",AM81="Exact locator needed",AM81="HAU forum framing; exact target locator needed",AM81="Forum exchange; exact locator needed"))),"EVIDENCE DEBT","READY")))</x:f>
        <x:v>N/A</x:v>
      </x:c>
      <x:c r="AT81" s="74" t="str"/>
    </x:row>
    <x:row r="82" ht="50" customHeight="1">
      <x:c r="A82" s="86" t="n">
        <x:v>77</x:v>
      </x:c>
      <x:c r="B82" s="76" t="str">
        <x:v>Active</x:v>
      </x:c>
      <x:c r="C82" s="90" t="n">
        <x:v>9</x:v>
      </x:c>
      <x:c r="D82" s="82" t="str">
        <x:f>IF(C82="","",IFERROR(VLOOKUP(C82,'Database controls'!$A$5:$B$20,2,FALSE),"NEW / UNCATEGORIZED"))</x:f>
        <x:v>AI ethics, scanner mechanisms, and pluralistic correctives</x:v>
      </x:c>
      <x:c r="E82" s="76" t="str">
        <x:v>NOT APPLICABLE</x:v>
      </x:c>
      <x:c r="F82" s="76" t="str">
        <x:v>NOT APPLICABLE</x:v>
      </x:c>
      <x:c r="G82" s="76" t="str">
        <x:v>NOT APPLICABLE</x:v>
      </x:c>
      <x:c r="H82" s="82" t="str">
        <x:f>IF(A82="","",IF(OR(F82="REJECTS",G82="REJECTS"),"OUTSIDE / EXCOMMUNICABLE",IF(AND(OR(F82="RETAINS",F82="RETAINS WITH QUALIFICATION"),OR(G82="RETAINS",G82="RETAINS WITH QUALIFICATION")),"INTERNAL GORGONWARS",IF(AND(F82="NOT APPLICABLE",G82="NOT APPLICABLE"),"NOT APPLICABLE","PREMISES UNRESOLVED"))))</x:f>
        <x:v>NOT APPLICABLE</x:v>
      </x:c>
      <x:c r="I82" s="82" t="str">
        <x:f>IF(A82="","",IF(E82=H82,"OK",IF(AO82&lt;&gt;"","OVERRIDDEN","REVIEW")))</x:f>
        <x:v>OK</x:v>
      </x:c>
      <x:c r="J82" s="76" t="str">
        <x:v>Group-aware disagreement analysis framework</x:v>
      </x:c>
      <x:c r="K82" s="76" t="str">
        <x:v>AI / scanner mechanism only</x:v>
      </x:c>
      <x:c r="L82" s="76" t="str">
        <x:v>Conference paper</x:v>
      </x:c>
      <x:c r="M82" s="76" t="str">
        <x:v>Conference review</x:v>
      </x:c>
      <x:c r="N82" s="90" t="n">
        <x:v>2024</x:v>
      </x:c>
      <x:c r="O82" s="76" t="str">
        <x:v>Vinodkumar Prabhakaran, Christopher Homan, Lora Aroyo, Aida Mostafazadeh Davani, Alicia Parrish, Alex Taylor, Mark Diaz, Ding Wang, and Gregory Serapio-García</x:v>
      </x:c>
      <x:c r="P82" s="76" t="str">
        <x:v>GRASP: A Disagreement Analysis Framework to Assess Group Associations in Perspectives</x:v>
      </x:c>
      <x:c r="Q82" s="76" t="str">
        <x:v>Proceedings of NAACL 2024</x:v>
      </x:c>
      <x:c r="R82" s="76" t="str">
        <x:v>English</x:v>
      </x:c>
      <x:c r="S82" s="76" t="str">
        <x:v>Group-aware disagreement analysis reveals which demographic groups systematically differ in safety and offensiveness judgments instead of treating disagreement as random error.</x:v>
      </x:c>
      <x:c r="T82" s="76" t="str">
        <x:v>Maps group-associated disagreement; it does not make every group preference correct or prescribe a final policy.</x:v>
      </x:c>
      <x:c r="U82" s="76" t="str">
        <x:v>Source record verified</x:v>
      </x:c>
      <x:c r="V82" s="76" t="str">
        <x:v>www.aclanthology.org/2024.naacl-long.190/</x:v>
      </x:c>
      <x:c r="W82" s="76" t="str">
        <x:v>ACL:2024.naacl-long.190</x:v>
      </x:c>
      <x:c r="X82" s="94" t="n">
        <x:v>46230</x:v>
      </x:c>
      <x:c r="Y82" s="94" t="n">
        <x:v>46230</x:v>
      </x:c>
      <x:c r="Z82" s="76" t="str"/>
      <x:c r="AA82" s="76" t="str"/>
      <x:c r="AB82" s="76" t="n">
        <x:v>77</x:v>
      </x:c>
      <x:c r="AC82" s="76" t="str">
        <x:v>METHODOLOGICAL CORRECTIVE</x:v>
      </x:c>
      <x:c r="AD82" s="76" t="str">
        <x:v>MECHANISM / ADJACENT</x:v>
      </x:c>
      <x:c r="AE82" s="76" t="str">
        <x:v>NO</x:v>
      </x:c>
      <x:c r="AF82" s="76" t="str">
        <x:v>Search, labeling, ranking, moderation, alignment, and evaluator bias</x:v>
      </x:c>
      <x:c r="AG82" s="76" t="str">
        <x:v>NOT APPLICABLE</x:v>
      </x:c>
      <x:c r="AH82" s="76" t="str"/>
      <x:c r="AI82" s="76" t="str"/>
      <x:c r="AJ82" s="76" t="str"/>
      <x:c r="AK82" s="76" t="str">
        <x:v>NOT APPLICABLE</x:v>
      </x:c>
      <x:c r="AL82" s="76" t="str"/>
      <x:c r="AM82" s="76" t="str"/>
      <x:c r="AN82" s="76" t="str"/>
      <x:c r="AO82" s="76" t="str"/>
      <x:c r="AP82" s="76" t="str">
        <x:v>Research team</x:v>
      </x:c>
      <x:c r="AQ82" s="76" t="str">
        <x:v>GORGONWARS-PREMISE-1.0</x:v>
      </x:c>
      <x:c r="AR82" s="76" t="str"/>
      <x:c r="AS82" s="82" t="str">
        <x:f>IF(A82="","",IF(OR(E82="NOT APPLICABLE",E82="PREMISES UNRESOLVED"),"N/A",IF(OR(AND(F82&lt;&gt;"NO EVIDENCE",F82&lt;&gt;"NOT APPLICABLE",OR(AG82="",AH82="",AI82="",AJ82="",AG82="SYSTEM INFERENCE",AG82="ABSTRACT ONLY",AG82="SECONDARY REPORT",AG82="UNVERIFIED",AI82="Exact locator needed",AI82="HAU forum framing; exact target locator needed",AI82="Forum exchange; exact locator needed")),AND(G82&lt;&gt;"NO EVIDENCE",G82&lt;&gt;"NOT APPLICABLE",OR(AK82="",AL82="",AM82="",AN82="",AK82="SYSTEM INFERENCE",AK82="ABSTRACT ONLY",AK82="SECONDARY REPORT",AK82="UNVERIFIED",AM82="Exact locator needed",AM82="HAU forum framing; exact target locator needed",AM82="Forum exchange; exact locator needed"))),"EVIDENCE DEBT","READY")))</x:f>
        <x:v>N/A</x:v>
      </x:c>
      <x:c r="AT82" s="77" t="str"/>
    </x:row>
    <x:row r="83" ht="50" customHeight="1">
      <x:c r="A83" s="85" t="n">
        <x:v>78</x:v>
      </x:c>
      <x:c r="B83" s="73" t="str">
        <x:v>Active</x:v>
      </x:c>
      <x:c r="C83" s="89" t="n">
        <x:v>9</x:v>
      </x:c>
      <x:c r="D83" s="82" t="str">
        <x:f>IF(C83="","",IFERROR(VLOOKUP(C83,'Database controls'!$A$5:$B$20,2,FALSE),"NEW / UNCATEGORIZED"))</x:f>
        <x:v>AI ethics, scanner mechanisms, and pluralistic correctives</x:v>
      </x:c>
      <x:c r="E83" s="73" t="str">
        <x:v>NOT APPLICABLE</x:v>
      </x:c>
      <x:c r="F83" s="73" t="str">
        <x:v>NOT APPLICABLE</x:v>
      </x:c>
      <x:c r="G83" s="73" t="str">
        <x:v>NOT APPLICABLE</x:v>
      </x:c>
      <x:c r="H83" s="82" t="str">
        <x:f>IF(A83="","",IF(OR(F83="REJECTS",G83="REJECTS"),"OUTSIDE / EXCOMMUNICABLE",IF(AND(OR(F83="RETAINS",F83="RETAINS WITH QUALIFICATION"),OR(G83="RETAINS",G83="RETAINS WITH QUALIFICATION")),"INTERNAL GORGONWARS",IF(AND(F83="NOT APPLICABLE",G83="NOT APPLICABLE"),"NOT APPLICABLE","PREMISES UNRESOLVED"))))</x:f>
        <x:v>NOT APPLICABLE</x:v>
      </x:c>
      <x:c r="I83" s="82" t="str">
        <x:f>IF(A83="","",IF(E83=H83,"OK",IF(AO83&lt;&gt;"","OVERRIDDEN","REVIEW")))</x:f>
        <x:v>OK</x:v>
      </x:c>
      <x:c r="J83" s="73" t="str">
        <x:v>Reproducible testbed for pluralistic preference alignment</x:v>
      </x:c>
      <x:c r="K83" s="73" t="str">
        <x:v>AI / scanner mechanism only</x:v>
      </x:c>
      <x:c r="L83" s="73" t="str">
        <x:v>Conference paper</x:v>
      </x:c>
      <x:c r="M83" s="73" t="str">
        <x:v>Conference review</x:v>
      </x:c>
      <x:c r="N83" s="89" t="n">
        <x:v>2025</x:v>
      </x:c>
      <x:c r="O83" s="73" t="str">
        <x:v>Louis Castricato, Nathan Lile, Rafael Rafailov, Jan-Philipp Fränken, and Chelsea Finn</x:v>
      </x:c>
      <x:c r="P83" s="73" t="str">
        <x:v>PERSONA: A Reproducible Testbed for Pluralistic Alignment</x:v>
      </x:c>
      <x:c r="Q83" s="73" t="str">
        <x:v>Proceedings of COLING 2025</x:v>
      </x:c>
      <x:c r="R83" s="73" t="str">
        <x:v>English</x:v>
      </x:c>
      <x:c r="S83" s="73" t="str">
        <x:v>Preference optimization can reinforce majority values and marginalize minority perspectives, so synthetic personas provide a testbed for pluralistic alignment.</x:v>
      </x:c>
      <x:c r="T83" s="73" t="str">
        <x:v>Uses synthetic personas derived from U.S. census profiles, so successful benchmarking is not the same as representing all real communities.</x:v>
      </x:c>
      <x:c r="U83" s="73" t="str">
        <x:v>Source record verified</x:v>
      </x:c>
      <x:c r="V83" s="73" t="str">
        <x:v>www.aclanthology.org/2025.coling-main.752/</x:v>
      </x:c>
      <x:c r="W83" s="73" t="str">
        <x:v>ACL:2025.coling-main.752</x:v>
      </x:c>
      <x:c r="X83" s="93" t="n">
        <x:v>46230</x:v>
      </x:c>
      <x:c r="Y83" s="93" t="n">
        <x:v>46230</x:v>
      </x:c>
      <x:c r="Z83" s="73" t="str"/>
      <x:c r="AA83" s="73" t="str"/>
      <x:c r="AB83" s="73" t="n">
        <x:v>78</x:v>
      </x:c>
      <x:c r="AC83" s="73" t="str">
        <x:v>METHODOLOGICAL CORRECTIVE</x:v>
      </x:c>
      <x:c r="AD83" s="73" t="str">
        <x:v>MECHANISM / ADJACENT</x:v>
      </x:c>
      <x:c r="AE83" s="73" t="str">
        <x:v>NO</x:v>
      </x:c>
      <x:c r="AF83" s="73" t="str">
        <x:v>Search, labeling, ranking, moderation, alignment, and evaluator bias</x:v>
      </x:c>
      <x:c r="AG83" s="73" t="str">
        <x:v>NOT APPLICABLE</x:v>
      </x:c>
      <x:c r="AH83" s="73" t="str"/>
      <x:c r="AI83" s="73" t="str"/>
      <x:c r="AJ83" s="73" t="str"/>
      <x:c r="AK83" s="73" t="str">
        <x:v>NOT APPLICABLE</x:v>
      </x:c>
      <x:c r="AL83" s="73" t="str"/>
      <x:c r="AM83" s="73" t="str"/>
      <x:c r="AN83" s="73" t="str"/>
      <x:c r="AO83" s="73" t="str"/>
      <x:c r="AP83" s="73" t="str">
        <x:v>Research team</x:v>
      </x:c>
      <x:c r="AQ83" s="73" t="str">
        <x:v>GORGONWARS-PREMISE-1.0</x:v>
      </x:c>
      <x:c r="AR83" s="73" t="str"/>
      <x:c r="AS83" s="82" t="str">
        <x:f>IF(A83="","",IF(OR(E83="NOT APPLICABLE",E83="PREMISES UNRESOLVED"),"N/A",IF(OR(AND(F83&lt;&gt;"NO EVIDENCE",F83&lt;&gt;"NOT APPLICABLE",OR(AG83="",AH83="",AI83="",AJ83="",AG83="SYSTEM INFERENCE",AG83="ABSTRACT ONLY",AG83="SECONDARY REPORT",AG83="UNVERIFIED",AI83="Exact locator needed",AI83="HAU forum framing; exact target locator needed",AI83="Forum exchange; exact locator needed")),AND(G83&lt;&gt;"NO EVIDENCE",G83&lt;&gt;"NOT APPLICABLE",OR(AK83="",AL83="",AM83="",AN83="",AK83="SYSTEM INFERENCE",AK83="ABSTRACT ONLY",AK83="SECONDARY REPORT",AK83="UNVERIFIED",AM83="Exact locator needed",AM83="HAU forum framing; exact target locator needed",AM83="Forum exchange; exact locator needed"))),"EVIDENCE DEBT","READY")))</x:f>
        <x:v>N/A</x:v>
      </x:c>
      <x:c r="AT83" s="74" t="str"/>
    </x:row>
    <x:row r="84" ht="50" customHeight="1">
      <x:c r="A84" s="86" t="n">
        <x:v>79</x:v>
      </x:c>
      <x:c r="B84" s="76" t="str">
        <x:v>Active</x:v>
      </x:c>
      <x:c r="C84" s="90" t="n">
        <x:v>9</x:v>
      </x:c>
      <x:c r="D84" s="82" t="str">
        <x:f>IF(C84="","",IFERROR(VLOOKUP(C84,'Database controls'!$A$5:$B$20,2,FALSE),"NEW / UNCATEGORIZED"))</x:f>
        <x:v>AI ethics, scanner mechanisms, and pluralistic correctives</x:v>
      </x:c>
      <x:c r="E84" s="76" t="str">
        <x:v>NOT APPLICABLE</x:v>
      </x:c>
      <x:c r="F84" s="76" t="str">
        <x:v>NOT APPLICABLE</x:v>
      </x:c>
      <x:c r="G84" s="76" t="str">
        <x:v>NOT APPLICABLE</x:v>
      </x:c>
      <x:c r="H84" s="82" t="str">
        <x:f>IF(A84="","",IF(OR(F84="REJECTS",G84="REJECTS"),"OUTSIDE / EXCOMMUNICABLE",IF(AND(OR(F84="RETAINS",F84="RETAINS WITH QUALIFICATION"),OR(G84="RETAINS",G84="RETAINS WITH QUALIFICATION")),"INTERNAL GORGONWARS",IF(AND(F84="NOT APPLICABLE",G84="NOT APPLICABLE"),"NOT APPLICABLE","PREMISES UNRESOLVED"))))</x:f>
        <x:v>NOT APPLICABLE</x:v>
      </x:c>
      <x:c r="I84" s="82" t="str">
        <x:f>IF(A84="","",IF(E84=H84,"OK",IF(AO84&lt;&gt;"","OVERRIDDEN","REVIEW")))</x:f>
        <x:v>OK</x:v>
      </x:c>
      <x:c r="J84" s="76" t="str">
        <x:v>Robust multi-group RLHF method</x:v>
      </x:c>
      <x:c r="K84" s="76" t="str">
        <x:v>AI / scanner mechanism only</x:v>
      </x:c>
      <x:c r="L84" s="76" t="str">
        <x:v>Conference paper</x:v>
      </x:c>
      <x:c r="M84" s="76" t="str">
        <x:v>Conference review</x:v>
      </x:c>
      <x:c r="N84" s="90" t="n">
        <x:v>2024</x:v>
      </x:c>
      <x:c r="O84" s="76" t="str">
        <x:v>Souradip Chakraborty and colleagues</x:v>
      </x:c>
      <x:c r="P84" s="76" t="str">
        <x:v>MaxMin-RLHF: Toward Equitable Alignment of Large Language Models with Diverse Human Preferences</x:v>
      </x:c>
      <x:c r="Q84" s="76" t="str">
        <x:v>Proceedings of ICML</x:v>
      </x:c>
      <x:c r="R84" s="76" t="str">
        <x:v>English</x:v>
      </x:c>
      <x:c r="S84" s="76" t="str">
        <x:v>One reward model averages incompatible preferences, while mixture rewards and max-min optimization can protect groups whose values would otherwise be washed out.</x:v>
      </x:c>
      <x:c r="T84" s="76" t="str">
        <x:v>A technical method whose fairness depends on how preference groups are defined and sampled.</x:v>
      </x:c>
      <x:c r="U84" s="76" t="str">
        <x:v>Source record verified</x:v>
      </x:c>
      <x:c r="V84" s="76" t="str">
        <x:v>www.proceedings.mlr.press/v235/chakraborty24b.html</x:v>
      </x:c>
      <x:c r="W84" s="76" t="str"/>
      <x:c r="X84" s="94" t="n">
        <x:v>46230</x:v>
      </x:c>
      <x:c r="Y84" s="94" t="n">
        <x:v>46230</x:v>
      </x:c>
      <x:c r="Z84" s="76" t="str"/>
      <x:c r="AA84" s="76" t="str">
        <x:v>Former duplicate removed from the old 85-line list</x:v>
      </x:c>
      <x:c r="AB84" s="76" t="n">
        <x:v>79</x:v>
      </x:c>
      <x:c r="AC84" s="76" t="str">
        <x:v>METHODOLOGICAL CORRECTIVE</x:v>
      </x:c>
      <x:c r="AD84" s="76" t="str">
        <x:v>MECHANISM / ADJACENT</x:v>
      </x:c>
      <x:c r="AE84" s="76" t="str">
        <x:v>NO</x:v>
      </x:c>
      <x:c r="AF84" s="76" t="str">
        <x:v>Search, labeling, ranking, moderation, alignment, and evaluator bias</x:v>
      </x:c>
      <x:c r="AG84" s="76" t="str">
        <x:v>NOT APPLICABLE</x:v>
      </x:c>
      <x:c r="AH84" s="76" t="str"/>
      <x:c r="AI84" s="76" t="str"/>
      <x:c r="AJ84" s="76" t="str"/>
      <x:c r="AK84" s="76" t="str">
        <x:v>NOT APPLICABLE</x:v>
      </x:c>
      <x:c r="AL84" s="76" t="str"/>
      <x:c r="AM84" s="76" t="str"/>
      <x:c r="AN84" s="76" t="str"/>
      <x:c r="AO84" s="76" t="str"/>
      <x:c r="AP84" s="76" t="str">
        <x:v>Research team</x:v>
      </x:c>
      <x:c r="AQ84" s="76" t="str">
        <x:v>GORGONWARS-PREMISE-1.0</x:v>
      </x:c>
      <x:c r="AR84" s="76" t="str"/>
      <x:c r="AS84" s="82" t="str">
        <x:f>IF(A84="","",IF(OR(E84="NOT APPLICABLE",E84="PREMISES UNRESOLVED"),"N/A",IF(OR(AND(F84&lt;&gt;"NO EVIDENCE",F84&lt;&gt;"NOT APPLICABLE",OR(AG84="",AH84="",AI84="",AJ84="",AG84="SYSTEM INFERENCE",AG84="ABSTRACT ONLY",AG84="SECONDARY REPORT",AG84="UNVERIFIED",AI84="Exact locator needed",AI84="HAU forum framing; exact target locator needed",AI84="Forum exchange; exact locator needed")),AND(G84&lt;&gt;"NO EVIDENCE",G84&lt;&gt;"NOT APPLICABLE",OR(AK84="",AL84="",AM84="",AN84="",AK84="SYSTEM INFERENCE",AK84="ABSTRACT ONLY",AK84="SECONDARY REPORT",AK84="UNVERIFIED",AM84="Exact locator needed",AM84="HAU forum framing; exact target locator needed",AM84="Forum exchange; exact locator needed"))),"EVIDENCE DEBT","READY")))</x:f>
        <x:v>N/A</x:v>
      </x:c>
      <x:c r="AT84" s="77" t="str"/>
    </x:row>
    <x:row r="85" ht="50" customHeight="1">
      <x:c r="A85" s="85" t="n">
        <x:v>80</x:v>
      </x:c>
      <x:c r="B85" s="73" t="str">
        <x:v>Active</x:v>
      </x:c>
      <x:c r="C85" s="89" t="n">
        <x:v>9</x:v>
      </x:c>
      <x:c r="D85" s="82" t="str">
        <x:f>IF(C85="","",IFERROR(VLOOKUP(C85,'Database controls'!$A$5:$B$20,2,FALSE),"NEW / UNCATEGORIZED"))</x:f>
        <x:v>AI ethics, scanner mechanisms, and pluralistic correctives</x:v>
      </x:c>
      <x:c r="E85" s="73" t="str">
        <x:v>NOT APPLICABLE</x:v>
      </x:c>
      <x:c r="F85" s="73" t="str">
        <x:v>NOT APPLICABLE</x:v>
      </x:c>
      <x:c r="G85" s="73" t="str">
        <x:v>NOT APPLICABLE</x:v>
      </x:c>
      <x:c r="H85" s="82" t="str">
        <x:f>IF(A85="","",IF(OR(F85="REJECTS",G85="REJECTS"),"OUTSIDE / EXCOMMUNICABLE",IF(AND(OR(F85="RETAINS",F85="RETAINS WITH QUALIFICATION"),OR(G85="RETAINS",G85="RETAINS WITH QUALIFICATION")),"INTERNAL GORGONWARS",IF(AND(F85="NOT APPLICABLE",G85="NOT APPLICABLE"),"NOT APPLICABLE","PREMISES UNRESOLVED"))))</x:f>
        <x:v>NOT APPLICABLE</x:v>
      </x:c>
      <x:c r="I85" s="82" t="str">
        <x:f>IF(A85="","",IF(E85=H85,"OK",IF(AO85&lt;&gt;"","OVERRIDDEN","REVIEW")))</x:f>
        <x:v>OK</x:v>
      </x:c>
      <x:c r="J85" s="73" t="str">
        <x:v>Perspective-preserving annotation proposal</x:v>
      </x:c>
      <x:c r="K85" s="73" t="str">
        <x:v>AI / scanner mechanism only</x:v>
      </x:c>
      <x:c r="L85" s="73" t="str">
        <x:v>Peer-reviewed journal article</x:v>
      </x:c>
      <x:c r="M85" s="73" t="str">
        <x:v>Peer-reviewed</x:v>
      </x:c>
      <x:c r="N85" s="89" t="n">
        <x:v>2022</x:v>
      </x:c>
      <x:c r="O85" s="73" t="str">
        <x:v>Lucy Havens and colleagues</x:v>
      </x:c>
      <x:c r="P85" s="73" t="str">
        <x:v>Beyond Explanation: What Does It Mean to Take Annotator Disagreement Seriously?</x:v>
      </x:c>
      <x:c r="Q85" s="73" t="str">
        <x:v>NLPerspectives 2022</x:v>
      </x:c>
      <x:c r="R85" s="73" t="str">
        <x:v>English</x:v>
      </x:c>
      <x:c r="S85" s="73" t="str">
        <x:v>Disagreement can represent genuine competing interpretations, so datasets should preserve labels and annotator perspectives instead of forcing consensus.</x:v>
      </x:c>
      <x:c r="T85" s="73" t="str">
        <x:v>A methodological proposal; retaining labels alone does not resolve harmful or uninformed judgments.</x:v>
      </x:c>
      <x:c r="U85" s="73" t="str">
        <x:v>Source record verified</x:v>
      </x:c>
      <x:c r="V85" s="73" t="str">
        <x:v>www.aclanthology.org/2022.nlperspectives-1.10/</x:v>
      </x:c>
      <x:c r="W85" s="73" t="str">
        <x:v>ACL:2022.nlperspectives-1.10</x:v>
      </x:c>
      <x:c r="X85" s="93" t="n">
        <x:v>46230</x:v>
      </x:c>
      <x:c r="Y85" s="93" t="n">
        <x:v>46230</x:v>
      </x:c>
      <x:c r="Z85" s="73" t="str"/>
      <x:c r="AA85" s="73" t="str"/>
      <x:c r="AB85" s="73" t="n">
        <x:v>80</x:v>
      </x:c>
      <x:c r="AC85" s="73" t="str">
        <x:v>METHODOLOGICAL CORRECTIVE</x:v>
      </x:c>
      <x:c r="AD85" s="73" t="str">
        <x:v>MECHANISM / ADJACENT</x:v>
      </x:c>
      <x:c r="AE85" s="73" t="str">
        <x:v>NO</x:v>
      </x:c>
      <x:c r="AF85" s="73" t="str">
        <x:v>Search, labeling, ranking, moderation, alignment, and evaluator bias</x:v>
      </x:c>
      <x:c r="AG85" s="73" t="str">
        <x:v>NOT APPLICABLE</x:v>
      </x:c>
      <x:c r="AH85" s="73" t="str"/>
      <x:c r="AI85" s="73" t="str"/>
      <x:c r="AJ85" s="73" t="str"/>
      <x:c r="AK85" s="73" t="str">
        <x:v>NOT APPLICABLE</x:v>
      </x:c>
      <x:c r="AL85" s="73" t="str"/>
      <x:c r="AM85" s="73" t="str"/>
      <x:c r="AN85" s="73" t="str"/>
      <x:c r="AO85" s="73" t="str"/>
      <x:c r="AP85" s="73" t="str">
        <x:v>Research team</x:v>
      </x:c>
      <x:c r="AQ85" s="73" t="str">
        <x:v>GORGONWARS-PREMISE-1.0</x:v>
      </x:c>
      <x:c r="AR85" s="73" t="str"/>
      <x:c r="AS85" s="82" t="str">
        <x:f>IF(A85="","",IF(OR(E85="NOT APPLICABLE",E85="PREMISES UNRESOLVED"),"N/A",IF(OR(AND(F85&lt;&gt;"NO EVIDENCE",F85&lt;&gt;"NOT APPLICABLE",OR(AG85="",AH85="",AI85="",AJ85="",AG85="SYSTEM INFERENCE",AG85="ABSTRACT ONLY",AG85="SECONDARY REPORT",AG85="UNVERIFIED",AI85="Exact locator needed",AI85="HAU forum framing; exact target locator needed",AI85="Forum exchange; exact locator needed")),AND(G85&lt;&gt;"NO EVIDENCE",G85&lt;&gt;"NOT APPLICABLE",OR(AK85="",AL85="",AM85="",AN85="",AK85="SYSTEM INFERENCE",AK85="ABSTRACT ONLY",AK85="SECONDARY REPORT",AK85="UNVERIFIED",AM85="Exact locator needed",AM85="HAU forum framing; exact target locator needed",AM85="Forum exchange; exact locator needed"))),"EVIDENCE DEBT","READY")))</x:f>
        <x:v>N/A</x:v>
      </x:c>
      <x:c r="AT85" s="74" t="str"/>
    </x:row>
    <x:row r="86" ht="50" customHeight="1">
      <x:c r="A86" s="86" t="n">
        <x:v>81</x:v>
      </x:c>
      <x:c r="B86" s="76" t="str">
        <x:v>Active</x:v>
      </x:c>
      <x:c r="C86" s="90" t="n">
        <x:v>9</x:v>
      </x:c>
      <x:c r="D86" s="82" t="str">
        <x:f>IF(C86="","",IFERROR(VLOOKUP(C86,'Database controls'!$A$5:$B$20,2,FALSE),"NEW / UNCATEGORIZED"))</x:f>
        <x:v>AI ethics, scanner mechanisms, and pluralistic correctives</x:v>
      </x:c>
      <x:c r="E86" s="76" t="str">
        <x:v>NOT APPLICABLE</x:v>
      </x:c>
      <x:c r="F86" s="76" t="str">
        <x:v>NOT APPLICABLE</x:v>
      </x:c>
      <x:c r="G86" s="76" t="str">
        <x:v>NOT APPLICABLE</x:v>
      </x:c>
      <x:c r="H86" s="82" t="str">
        <x:f>IF(A86="","",IF(OR(F86="REJECTS",G86="REJECTS"),"OUTSIDE / EXCOMMUNICABLE",IF(AND(OR(F86="RETAINS",F86="RETAINS WITH QUALIFICATION"),OR(G86="RETAINS",G86="RETAINS WITH QUALIFICATION")),"INTERNAL GORGONWARS",IF(AND(F86="NOT APPLICABLE",G86="NOT APPLICABLE"),"NOT APPLICABLE","PREMISES UNRESOLVED"))))</x:f>
        <x:v>NOT APPLICABLE</x:v>
      </x:c>
      <x:c r="I86" s="82" t="str">
        <x:f>IF(A86="","",IF(E86=H86,"OK",IF(AO86&lt;&gt;"","OVERRIDDEN","REVIEW")))</x:f>
        <x:v>OK</x:v>
      </x:c>
      <x:c r="J86" s="76" t="str">
        <x:v>Common-ground generation experiment</x:v>
      </x:c>
      <x:c r="K86" s="76" t="str">
        <x:v>AI / scanner mechanism only</x:v>
      </x:c>
      <x:c r="L86" s="76" t="str">
        <x:v>Conference paper</x:v>
      </x:c>
      <x:c r="M86" s="76" t="str">
        <x:v>Conference review</x:v>
      </x:c>
      <x:c r="N86" s="90" t="n">
        <x:v>2022</x:v>
      </x:c>
      <x:c r="O86" s="76" t="str">
        <x:v>Christopher R. Bakker and colleagues</x:v>
      </x:c>
      <x:c r="P86" s="76" t="str">
        <x:v>Fine-tuning language models to find agreement among humans with diverse preferences</x:v>
      </x:c>
      <x:c r="Q86" s="76" t="str">
        <x:v>NeurIPS</x:v>
      </x:c>
      <x:c r="R86" s="76" t="str">
        <x:v>English</x:v>
      </x:c>
      <x:c r="S86" s="76" t="str">
        <x:v>AI can help groups find broadly acceptable common ground, while participants excluded from consensus are often the strongest dissenters.</x:v>
      </x:c>
      <x:c r="T86" s="76" t="str">
        <x:v>Consensus generation can still marginalize principled minorities; broad agreement is not proof of truth.</x:v>
      </x:c>
      <x:c r="U86" s="76" t="str">
        <x:v>Source record verified</x:v>
      </x:c>
      <x:c r="V86" s="76" t="str">
        <x:v>www.papers.nips.cc/paper_files/paper/2022/hash/f978c8f3b5f399cae464e85f72e28503-Abstract-Conference.html</x:v>
      </x:c>
      <x:c r="W86" s="76" t="str"/>
      <x:c r="X86" s="94" t="n">
        <x:v>46230</x:v>
      </x:c>
      <x:c r="Y86" s="94" t="n">
        <x:v>46230</x:v>
      </x:c>
      <x:c r="Z86" s="76" t="str"/>
      <x:c r="AA86" s="76" t="str"/>
      <x:c r="AB86" s="76" t="n">
        <x:v>81</x:v>
      </x:c>
      <x:c r="AC86" s="76" t="str">
        <x:v>METHODOLOGICAL CORRECTIVE</x:v>
      </x:c>
      <x:c r="AD86" s="76" t="str">
        <x:v>MECHANISM / ADJACENT</x:v>
      </x:c>
      <x:c r="AE86" s="76" t="str">
        <x:v>NO</x:v>
      </x:c>
      <x:c r="AF86" s="76" t="str">
        <x:v>Search, labeling, ranking, moderation, alignment, and evaluator bias</x:v>
      </x:c>
      <x:c r="AG86" s="76" t="str">
        <x:v>NOT APPLICABLE</x:v>
      </x:c>
      <x:c r="AH86" s="76" t="str"/>
      <x:c r="AI86" s="76" t="str"/>
      <x:c r="AJ86" s="76" t="str"/>
      <x:c r="AK86" s="76" t="str">
        <x:v>NOT APPLICABLE</x:v>
      </x:c>
      <x:c r="AL86" s="76" t="str"/>
      <x:c r="AM86" s="76" t="str"/>
      <x:c r="AN86" s="76" t="str"/>
      <x:c r="AO86" s="76" t="str"/>
      <x:c r="AP86" s="76" t="str">
        <x:v>Research team</x:v>
      </x:c>
      <x:c r="AQ86" s="76" t="str">
        <x:v>GORGONWARS-PREMISE-1.0</x:v>
      </x:c>
      <x:c r="AR86" s="76" t="str"/>
      <x:c r="AS86" s="82" t="str">
        <x:f>IF(A86="","",IF(OR(E86="NOT APPLICABLE",E86="PREMISES UNRESOLVED"),"N/A",IF(OR(AND(F86&lt;&gt;"NO EVIDENCE",F86&lt;&gt;"NOT APPLICABLE",OR(AG86="",AH86="",AI86="",AJ86="",AG86="SYSTEM INFERENCE",AG86="ABSTRACT ONLY",AG86="SECONDARY REPORT",AG86="UNVERIFIED",AI86="Exact locator needed",AI86="HAU forum framing; exact target locator needed",AI86="Forum exchange; exact locator needed")),AND(G86&lt;&gt;"NO EVIDENCE",G86&lt;&gt;"NOT APPLICABLE",OR(AK86="",AL86="",AM86="",AN86="",AK86="SYSTEM INFERENCE",AK86="ABSTRACT ONLY",AK86="SECONDARY REPORT",AK86="UNVERIFIED",AM86="Exact locator needed",AM86="HAU forum framing; exact target locator needed",AM86="Forum exchange; exact locator needed"))),"EVIDENCE DEBT","READY")))</x:f>
        <x:v>N/A</x:v>
      </x:c>
      <x:c r="AT86" s="77" t="str"/>
    </x:row>
    <x:row r="87" ht="50" customHeight="1">
      <x:c r="A87" s="85" t="n">
        <x:v>82</x:v>
      </x:c>
      <x:c r="B87" s="73" t="str">
        <x:v>Active</x:v>
      </x:c>
      <x:c r="C87" s="89" t="n">
        <x:v>9</x:v>
      </x:c>
      <x:c r="D87" s="82" t="str">
        <x:f>IF(C87="","",IFERROR(VLOOKUP(C87,'Database controls'!$A$5:$B$20,2,FALSE),"NEW / UNCATEGORIZED"))</x:f>
        <x:v>AI ethics, scanner mechanisms, and pluralistic correctives</x:v>
      </x:c>
      <x:c r="E87" s="73" t="str">
        <x:v>NOT APPLICABLE</x:v>
      </x:c>
      <x:c r="F87" s="73" t="str">
        <x:v>NOT APPLICABLE</x:v>
      </x:c>
      <x:c r="G87" s="73" t="str">
        <x:v>NOT APPLICABLE</x:v>
      </x:c>
      <x:c r="H87" s="82" t="str">
        <x:f>IF(A87="","",IF(OR(F87="REJECTS",G87="REJECTS"),"OUTSIDE / EXCOMMUNICABLE",IF(AND(OR(F87="RETAINS",F87="RETAINS WITH QUALIFICATION"),OR(G87="RETAINS",G87="RETAINS WITH QUALIFICATION")),"INTERNAL GORGONWARS",IF(AND(F87="NOT APPLICABLE",G87="NOT APPLICABLE"),"NOT APPLICABLE","PREMISES UNRESOLVED"))))</x:f>
        <x:v>NOT APPLICABLE</x:v>
      </x:c>
      <x:c r="I87" s="82" t="str">
        <x:f>IF(A87="","",IF(E87=H87,"OK",IF(AO87&lt;&gt;"","OVERRIDDEN","REVIEW")))</x:f>
        <x:v>OK</x:v>
      </x:c>
      <x:c r="J87" s="73" t="str">
        <x:v>Intersectional rater-disagreement analysis</x:v>
      </x:c>
      <x:c r="K87" s="73" t="str">
        <x:v>AI / scanner mechanism only</x:v>
      </x:c>
      <x:c r="L87" s="73" t="str">
        <x:v>Peer-reviewed journal article</x:v>
      </x:c>
      <x:c r="M87" s="73" t="str">
        <x:v>Peer-reviewed</x:v>
      </x:c>
      <x:c r="N87" s="89" t="n">
        <x:v>2023</x:v>
      </x:c>
      <x:c r="O87" s="73" t="str">
        <x:v>Chris Homan, Greg Serapio-García, Lora Aroyo, Mark Díaz, Alicia Parrish, Vinodkumar Prabhakaran, Alex Taylor, and Ding Wang</x:v>
      </x:c>
      <x:c r="P87" s="73" t="str">
        <x:v>Intersecting Demographics: Bayesian Multilevel Models Reveal Age, Gender, and Racial Differences in Safety Perception of Chatbot Conversations</x:v>
      </x:c>
      <x:c r="Q87" s="73" t="str">
        <x:v>Google Research publication</x:v>
      </x:c>
      <x:c r="R87" s="73" t="str">
        <x:v>English</x:v>
      </x:c>
      <x:c r="S87" s="73" t="str">
        <x:v>Safety judgments differ across intersecting age, gender, and racial groups, so an aggregate score can hide structured disagreement among raters.</x:v>
      </x:c>
      <x:c r="T87" s="73" t="str">
        <x:v>Shows association between demographics and safety judgments without making demographic identity an infallible epistemic authority.</x:v>
      </x:c>
      <x:c r="U87" s="73" t="str">
        <x:v>Source record verified</x:v>
      </x:c>
      <x:c r="V87" s="73" t="str">
        <x:v>www.research.google/pubs/intersecting-demographics-bayesian-multilevel-models-reveal-age-gender-and-racial-differences-in-safety-perception-of-chatbot-conversations/</x:v>
      </x:c>
      <x:c r="W87" s="73" t="str"/>
      <x:c r="X87" s="93" t="n">
        <x:v>46230</x:v>
      </x:c>
      <x:c r="Y87" s="93" t="n">
        <x:v>46230</x:v>
      </x:c>
      <x:c r="Z87" s="73" t="str"/>
      <x:c r="AA87" s="73" t="str"/>
      <x:c r="AB87" s="73" t="n">
        <x:v>82</x:v>
      </x:c>
      <x:c r="AC87" s="73" t="str">
        <x:v>METHODOLOGICAL CORRECTIVE</x:v>
      </x:c>
      <x:c r="AD87" s="73" t="str">
        <x:v>MECHANISM / ADJACENT</x:v>
      </x:c>
      <x:c r="AE87" s="73" t="str">
        <x:v>NO</x:v>
      </x:c>
      <x:c r="AF87" s="73" t="str">
        <x:v>Search, labeling, ranking, moderation, alignment, and evaluator bias</x:v>
      </x:c>
      <x:c r="AG87" s="73" t="str">
        <x:v>NOT APPLICABLE</x:v>
      </x:c>
      <x:c r="AH87" s="73" t="str"/>
      <x:c r="AI87" s="73" t="str"/>
      <x:c r="AJ87" s="73" t="str"/>
      <x:c r="AK87" s="73" t="str">
        <x:v>NOT APPLICABLE</x:v>
      </x:c>
      <x:c r="AL87" s="73" t="str"/>
      <x:c r="AM87" s="73" t="str"/>
      <x:c r="AN87" s="73" t="str"/>
      <x:c r="AO87" s="73" t="str"/>
      <x:c r="AP87" s="73" t="str">
        <x:v>Research team</x:v>
      </x:c>
      <x:c r="AQ87" s="73" t="str">
        <x:v>GORGONWARS-PREMISE-1.0</x:v>
      </x:c>
      <x:c r="AR87" s="73" t="str"/>
      <x:c r="AS87" s="82" t="str">
        <x:f>IF(A87="","",IF(OR(E87="NOT APPLICABLE",E87="PREMISES UNRESOLVED"),"N/A",IF(OR(AND(F87&lt;&gt;"NO EVIDENCE",F87&lt;&gt;"NOT APPLICABLE",OR(AG87="",AH87="",AI87="",AJ87="",AG87="SYSTEM INFERENCE",AG87="ABSTRACT ONLY",AG87="SECONDARY REPORT",AG87="UNVERIFIED",AI87="Exact locator needed",AI87="HAU forum framing; exact target locator needed",AI87="Forum exchange; exact locator needed")),AND(G87&lt;&gt;"NO EVIDENCE",G87&lt;&gt;"NOT APPLICABLE",OR(AK87="",AL87="",AM87="",AN87="",AK87="SYSTEM INFERENCE",AK87="ABSTRACT ONLY",AK87="SECONDARY REPORT",AK87="UNVERIFIED",AM87="Exact locator needed",AM87="HAU forum framing; exact target locator needed",AM87="Forum exchange; exact locator needed"))),"EVIDENCE DEBT","READY")))</x:f>
        <x:v>N/A</x:v>
      </x:c>
      <x:c r="AT87" s="74" t="str"/>
    </x:row>
    <x:row r="88" ht="50" customHeight="1">
      <x:c r="A88" s="86" t="n">
        <x:v>83</x:v>
      </x:c>
      <x:c r="B88" s="76" t="str">
        <x:v>Active</x:v>
      </x:c>
      <x:c r="C88" s="90" t="n">
        <x:v>9</x:v>
      </x:c>
      <x:c r="D88" s="82" t="str">
        <x:f>IF(C88="","",IFERROR(VLOOKUP(C88,'Database controls'!$A$5:$B$20,2,FALSE),"NEW / UNCATEGORIZED"))</x:f>
        <x:v>AI ethics, scanner mechanisms, and pluralistic correctives</x:v>
      </x:c>
      <x:c r="E88" s="76" t="str">
        <x:v>NOT APPLICABLE</x:v>
      </x:c>
      <x:c r="F88" s="76" t="str">
        <x:v>NOT APPLICABLE</x:v>
      </x:c>
      <x:c r="G88" s="76" t="str">
        <x:v>NOT APPLICABLE</x:v>
      </x:c>
      <x:c r="H88" s="82" t="str">
        <x:f>IF(A88="","",IF(OR(F88="REJECTS",G88="REJECTS"),"OUTSIDE / EXCOMMUNICABLE",IF(AND(OR(F88="RETAINS",F88="RETAINS WITH QUALIFICATION"),OR(G88="RETAINS",G88="RETAINS WITH QUALIFICATION")),"INTERNAL GORGONWARS",IF(AND(F88="NOT APPLICABLE",G88="NOT APPLICABLE"),"NOT APPLICABLE","PREMISES UNRESOLVED"))))</x:f>
        <x:v>NOT APPLICABLE</x:v>
      </x:c>
      <x:c r="I88" s="82" t="str">
        <x:f>IF(A88="","",IF(E88=H88,"OK",IF(AO88&lt;&gt;"","OVERRIDDEN","REVIEW")))</x:f>
        <x:v>OK</x:v>
      </x:c>
      <x:c r="J88" s="76" t="str">
        <x:v>Deployment-focused pluralistic-alignment roadmap</x:v>
      </x:c>
      <x:c r="K88" s="76" t="str">
        <x:v>AI / scanner mechanism only</x:v>
      </x:c>
      <x:c r="L88" s="76" t="str">
        <x:v>Working paper / preprint</x:v>
      </x:c>
      <x:c r="M88" s="76" t="str">
        <x:v>Working paper / preprint</x:v>
      </x:c>
      <x:c r="N88" s="90" t="n">
        <x:v>2026</x:v>
      </x:c>
      <x:c r="O88" s="76" t="str">
        <x:v>Elinor Poole-Dayan, Jillian Fisher, Atoosa Kasirzadeh, Jacob Andreas, Mitchell Gordon, and Michiel A. Bakker</x:v>
      </x:c>
      <x:c r="P88" s="76" t="str">
        <x:v>A Roadmap to Impactful Pluralistic Alignment Research</x:v>
      </x:c>
      <x:c r="Q88" s="76" t="str">
        <x:v>arXiv:2607.22305</x:v>
      </x:c>
      <x:c r="R88" s="76" t="str">
        <x:v>English</x:v>
      </x:c>
      <x:c r="S88" s="76" t="str">
        <x:v>Pluralistic alignment has barely reached production systems, so the field needs evidence of user benefit, a concrete target for pluralism, and deployable methods with measurable tradeoffs.</x:v>
      </x:c>
      <x:c r="T88" s="76" t="str">
        <x:v>A current roadmap and preprint, not evidence that proposed methods already work at production scale.</x:v>
      </x:c>
      <x:c r="U88" s="76" t="str">
        <x:v>Source record verified</x:v>
      </x:c>
      <x:c r="V88" s="76" t="str">
        <x:v>www.arxiv.org/abs/2607.22305</x:v>
      </x:c>
      <x:c r="W88" s="76" t="str">
        <x:v>arXiv:2607.22305</x:v>
      </x:c>
      <x:c r="X88" s="94" t="n">
        <x:v>46230</x:v>
      </x:c>
      <x:c r="Y88" s="94" t="n">
        <x:v>46230</x:v>
      </x:c>
      <x:c r="Z88" s="76" t="str"/>
      <x:c r="AA88" s="76" t="str"/>
      <x:c r="AB88" s="76" t="n">
        <x:v>83</x:v>
      </x:c>
      <x:c r="AC88" s="76" t="str">
        <x:v>METHODOLOGICAL CORRECTIVE</x:v>
      </x:c>
      <x:c r="AD88" s="76" t="str">
        <x:v>MECHANISM / ADJACENT</x:v>
      </x:c>
      <x:c r="AE88" s="76" t="str">
        <x:v>NO</x:v>
      </x:c>
      <x:c r="AF88" s="76" t="str">
        <x:v>Search, labeling, ranking, moderation, alignment, and evaluator bias</x:v>
      </x:c>
      <x:c r="AG88" s="76" t="str">
        <x:v>NOT APPLICABLE</x:v>
      </x:c>
      <x:c r="AH88" s="76" t="str"/>
      <x:c r="AI88" s="76" t="str"/>
      <x:c r="AJ88" s="76" t="str"/>
      <x:c r="AK88" s="76" t="str">
        <x:v>NOT APPLICABLE</x:v>
      </x:c>
      <x:c r="AL88" s="76" t="str"/>
      <x:c r="AM88" s="76" t="str"/>
      <x:c r="AN88" s="76" t="str"/>
      <x:c r="AO88" s="76" t="str"/>
      <x:c r="AP88" s="76" t="str">
        <x:v>Research team</x:v>
      </x:c>
      <x:c r="AQ88" s="76" t="str">
        <x:v>GORGONWARS-PREMISE-1.0</x:v>
      </x:c>
      <x:c r="AR88" s="76" t="str"/>
      <x:c r="AS88" s="82" t="str">
        <x:f>IF(A88="","",IF(OR(E88="NOT APPLICABLE",E88="PREMISES UNRESOLVED"),"N/A",IF(OR(AND(F88&lt;&gt;"NO EVIDENCE",F88&lt;&gt;"NOT APPLICABLE",OR(AG88="",AH88="",AI88="",AJ88="",AG88="SYSTEM INFERENCE",AG88="ABSTRACT ONLY",AG88="SECONDARY REPORT",AG88="UNVERIFIED",AI88="Exact locator needed",AI88="HAU forum framing; exact target locator needed",AI88="Forum exchange; exact locator needed")),AND(G88&lt;&gt;"NO EVIDENCE",G88&lt;&gt;"NOT APPLICABLE",OR(AK88="",AL88="",AM88="",AN88="",AK88="SYSTEM INFERENCE",AK88="ABSTRACT ONLY",AK88="SECONDARY REPORT",AK88="UNVERIFIED",AM88="Exact locator needed",AM88="HAU forum framing; exact target locator needed",AM88="Forum exchange; exact locator needed"))),"EVIDENCE DEBT","READY")))</x:f>
        <x:v>N/A</x:v>
      </x:c>
      <x:c r="AT88" s="77" t="str"/>
    </x:row>
    <x:row r="89" ht="50" customHeight="1">
      <x:c r="A89" s="85" t="n">
        <x:v>84</x:v>
      </x:c>
      <x:c r="B89" s="73" t="str">
        <x:v>Active</x:v>
      </x:c>
      <x:c r="C89" s="89" t="n">
        <x:v>9</x:v>
      </x:c>
      <x:c r="D89" s="82" t="str">
        <x:f>IF(C89="","",IFERROR(VLOOKUP(C89,'Database controls'!$A$5:$B$20,2,FALSE),"NEW / UNCATEGORIZED"))</x:f>
        <x:v>AI ethics, scanner mechanisms, and pluralistic correctives</x:v>
      </x:c>
      <x:c r="E89" s="73" t="str">
        <x:v>NOT APPLICABLE</x:v>
      </x:c>
      <x:c r="F89" s="73" t="str">
        <x:v>NOT APPLICABLE</x:v>
      </x:c>
      <x:c r="G89" s="73" t="str">
        <x:v>NOT APPLICABLE</x:v>
      </x:c>
      <x:c r="H89" s="82" t="str">
        <x:f>IF(A89="","",IF(OR(F89="REJECTS",G89="REJECTS"),"OUTSIDE / EXCOMMUNICABLE",IF(AND(OR(F89="RETAINS",F89="RETAINS WITH QUALIFICATION"),OR(G89="RETAINS",G89="RETAINS WITH QUALIFICATION")),"INTERNAL GORGONWARS",IF(AND(F89="NOT APPLICABLE",G89="NOT APPLICABLE"),"NOT APPLICABLE","PREMISES UNRESOLVED"))))</x:f>
        <x:v>NOT APPLICABLE</x:v>
      </x:c>
      <x:c r="I89" s="82" t="str">
        <x:f>IF(A89="","",IF(E89=H89,"OK",IF(AO89&lt;&gt;"","OVERRIDDEN","REVIEW")))</x:f>
        <x:v>OK</x:v>
      </x:c>
      <x:c r="J89" s="73" t="str">
        <x:v>Low-resource perspective-steering method</x:v>
      </x:c>
      <x:c r="K89" s="73" t="str">
        <x:v>AI / scanner mechanism only</x:v>
      </x:c>
      <x:c r="L89" s="73" t="str">
        <x:v>Conference paper</x:v>
      </x:c>
      <x:c r="M89" s="73" t="str">
        <x:v>Conference review</x:v>
      </x:c>
      <x:c r="N89" s="89" t="n">
        <x:v>2025</x:v>
      </x:c>
      <x:c r="O89" s="73" t="str">
        <x:v>Chu Fei Luo, Samuel Dahan, and Xiaodan Zhu</x:v>
      </x:c>
      <x:c r="P89" s="73" t="str">
        <x:v>Towards Low-Resource Alignment to Diverse Perspectives with Sparse Feedback</x:v>
      </x:c>
      <x:c r="Q89" s="73" t="str">
        <x:v>Findings of EMNLP 2025</x:v>
      </x:c>
      <x:c r="R89" s="73" t="str">
        <x:v>English</x:v>
      </x:c>
      <x:c r="S89" s="73" t="str">
        <x:v>Single-answer alignment creates generic responses, while steering with only 50 labeled examples can better match diverse demographic values and reduce false positives.</x:v>
      </x:c>
      <x:c r="T89" s="73" t="str">
        <x:v>A low-resource alignment result; performance depends on the chosen groups, tasks, and sparse labels.</x:v>
      </x:c>
      <x:c r="U89" s="73" t="str">
        <x:v>Source record verified</x:v>
      </x:c>
      <x:c r="V89" s="73" t="str">
        <x:v>www.aclanthology.org/2025.findings-emnlp.1106/</x:v>
      </x:c>
      <x:c r="W89" s="73" t="str">
        <x:v>ACL:2025.findings-emnlp.1106</x:v>
      </x:c>
      <x:c r="X89" s="93" t="n">
        <x:v>46230</x:v>
      </x:c>
      <x:c r="Y89" s="93" t="n">
        <x:v>46230</x:v>
      </x:c>
      <x:c r="Z89" s="73" t="str"/>
      <x:c r="AA89" s="73" t="str"/>
      <x:c r="AB89" s="73" t="n">
        <x:v>84</x:v>
      </x:c>
      <x:c r="AC89" s="73" t="str">
        <x:v>METHODOLOGICAL CORRECTIVE</x:v>
      </x:c>
      <x:c r="AD89" s="73" t="str">
        <x:v>MECHANISM / ADJACENT</x:v>
      </x:c>
      <x:c r="AE89" s="73" t="str">
        <x:v>NO</x:v>
      </x:c>
      <x:c r="AF89" s="73" t="str">
        <x:v>Search, labeling, ranking, moderation, alignment, and evaluator bias</x:v>
      </x:c>
      <x:c r="AG89" s="73" t="str">
        <x:v>NOT APPLICABLE</x:v>
      </x:c>
      <x:c r="AH89" s="73" t="str"/>
      <x:c r="AI89" s="73" t="str"/>
      <x:c r="AJ89" s="73" t="str"/>
      <x:c r="AK89" s="73" t="str">
        <x:v>NOT APPLICABLE</x:v>
      </x:c>
      <x:c r="AL89" s="73" t="str"/>
      <x:c r="AM89" s="73" t="str"/>
      <x:c r="AN89" s="73" t="str"/>
      <x:c r="AO89" s="73" t="str"/>
      <x:c r="AP89" s="73" t="str">
        <x:v>Research team</x:v>
      </x:c>
      <x:c r="AQ89" s="73" t="str">
        <x:v>GORGONWARS-PREMISE-1.0</x:v>
      </x:c>
      <x:c r="AR89" s="73" t="str"/>
      <x:c r="AS89" s="82" t="str">
        <x:f>IF(A89="","",IF(OR(E89="NOT APPLICABLE",E89="PREMISES UNRESOLVED"),"N/A",IF(OR(AND(F89&lt;&gt;"NO EVIDENCE",F89&lt;&gt;"NOT APPLICABLE",OR(AG89="",AH89="",AI89="",AJ89="",AG89="SYSTEM INFERENCE",AG89="ABSTRACT ONLY",AG89="SECONDARY REPORT",AG89="UNVERIFIED",AI89="Exact locator needed",AI89="HAU forum framing; exact target locator needed",AI89="Forum exchange; exact locator needed")),AND(G89&lt;&gt;"NO EVIDENCE",G89&lt;&gt;"NOT APPLICABLE",OR(AK89="",AL89="",AM89="",AN89="",AK89="SYSTEM INFERENCE",AK89="ABSTRACT ONLY",AK89="SECONDARY REPORT",AK89="UNVERIFIED",AM89="Exact locator needed",AM89="HAU forum framing; exact target locator needed",AM89="Forum exchange; exact locator needed"))),"EVIDENCE DEBT","READY")))</x:f>
        <x:v>N/A</x:v>
      </x:c>
      <x:c r="AT89" s="74" t="str"/>
    </x:row>
    <x:row r="90" ht="50" customHeight="1">
      <x:c r="A90" s="86" t="n">
        <x:v>85</x:v>
      </x:c>
      <x:c r="B90" s="76" t="str">
        <x:v>Active</x:v>
      </x:c>
      <x:c r="C90" s="90" t="n">
        <x:v>5</x:v>
      </x:c>
      <x:c r="D90" s="82" t="str">
        <x:f>IF(C90="","",IFERROR(VLOOKUP(C90,'Database controls'!$A$5:$B$20,2,FALSE),"NEW / UNCATEGORIZED"))</x:f>
        <x:v>Desire, agency, and sexual ambiguity</x:v>
      </x:c>
      <x:c r="E90" s="76" t="str">
        <x:v>OUTSIDE / EXCOMMUNICABLE</x:v>
      </x:c>
      <x:c r="F90" s="76" t="str">
        <x:v>REJECTS</x:v>
      </x:c>
      <x:c r="G90" s="76" t="str">
        <x:v>NO EVIDENCE</x:v>
      </x:c>
      <x:c r="H90" s="82" t="str">
        <x:f>IF(A90="","",IF(OR(F90="REJECTS",G90="REJECTS"),"OUTSIDE / EXCOMMUNICABLE",IF(AND(OR(F90="RETAINS",F90="RETAINS WITH QUALIFICATION"),OR(G90="RETAINS",G90="RETAINS WITH QUALIFICATION")),"INTERNAL GORGONWARS",IF(AND(F90="NOT APPLICABLE",G90="NOT APPLICABLE"),"NOT APPLICABLE","PREMISES UNRESOLVED"))))</x:f>
        <x:v>OUTSIDE / EXCOMMUNICABLE</x:v>
      </x:c>
      <x:c r="I90" s="82" t="str">
        <x:f>IF(A90="","",IF(E90=H90,"OK",IF(AO90&lt;&gt;"","OVERRIDDEN","REVIEW")))</x:f>
        <x:v>OK</x:v>
      </x:c>
      <x:c r="J90" s="76" t="str">
        <x:v>Foundational critique of bureaucratic regulation of consensual intimate life</x:v>
      </x:c>
      <x:c r="K90" s="76" t="str">
        <x:v>Foundational antecedent</x:v>
      </x:c>
      <x:c r="L90" s="76" t="str">
        <x:v>Law review article</x:v>
      </x:c>
      <x:c r="M90" s="76" t="str">
        <x:v>Law review / editorial review</x:v>
      </x:c>
      <x:c r="N90" s="90" t="n">
        <x:v>2016</x:v>
      </x:c>
      <x:c r="O90" s="76" t="str">
        <x:v>Jacob E. Gersen and Jeannie Suk Gersen</x:v>
      </x:c>
      <x:c r="P90" s="76" t="str">
        <x:v>The Sex Bureaucracy</x:v>
      </x:c>
      <x:c r="Q90" s="76" t="str">
        <x:v>California Law Review 104:881–948</x:v>
      </x:c>
      <x:c r="R90" s="76" t="str">
        <x:v>English</x:v>
      </x:c>
      <x:c r="S90" s="76" t="str">
        <x:v>Expanded anti-assault governance can end up regulating consensual, harmless sex, collapsing grave misconduct and ordinary intimacy in ways that damage liberty and the reform’s own goals.</x:v>
      </x:c>
      <x:c r="T90" s="76" t="str">
        <x:v>A pre-#MeToo Title IX antecedent; rejects bureaucratic overreach, not all political discussion of sex or all Title IX enforcement.</x:v>
      </x:c>
      <x:c r="U90" s="76" t="str">
        <x:v>Full text verified</x:v>
      </x:c>
      <x:c r="V90" s="76" t="str">
        <x:v>https://lawcat.berkeley.edu/record/1127467</x:v>
      </x:c>
      <x:c r="W90" s="76" t="str">
        <x:v>10.15779/Z38HV80</x:v>
      </x:c>
      <x:c r="X90" s="94" t="n">
        <x:v>46230</x:v>
      </x:c>
      <x:c r="Y90" s="94" t="n">
        <x:v>46230</x:v>
      </x:c>
      <x:c r="Z90" s="76" t="str"/>
      <x:c r="AA90" s="76" t="str"/>
      <x:c r="AB90" s="76" t="n">
        <x:v>85</x:v>
      </x:c>
      <x:c r="AC90" s="76" t="str">
        <x:v>FOUNDATIONAL ANTECEDENT</x:v>
      </x:c>
      <x:c r="AD90" s="76" t="str">
        <x:v>MECHANISM / ADJACENT</x:v>
      </x:c>
      <x:c r="AE90" s="76" t="str">
        <x:v>NO</x:v>
      </x:c>
      <x:c r="AF90" s="76" t="str">
        <x:v>Bureaucratic regulation of voluntary, non-harassing, nonviolent sexual conduct</x:v>
      </x:c>
      <x:c r="AG90" s="76" t="str">
        <x:v>DIRECT EXPLICIT</x:v>
      </x:c>
      <x:c r="AH90" s="76" t="str">
        <x:v>Quote: “bureaucratic regulation of sexual conduct that is voluntary, non-harassing, nonviolent, and does not harm others.”</x:v>
      </x:c>
      <x:c r="AI90" s="76" t="str">
        <x:v>Abstract; article begins p. 881</x:v>
      </x:c>
      <x:c r="AJ90" s="76" t="str">
        <x:v>https://lawcat.berkeley.edu/record/1127467</x:v>
      </x:c>
      <x:c r="AK90" s="76" t="str">
        <x:v>NO EVIDENCE</x:v>
      </x:c>
      <x:c r="AL90" s="76" t="str"/>
      <x:c r="AM90" s="76" t="str"/>
      <x:c r="AN90" s="76" t="str"/>
      <x:c r="AO90" s="76" t="str"/>
      <x:c r="AP90" s="76" t="str">
        <x:v>Legal/privacy expansion research pass</x:v>
      </x:c>
      <x:c r="AQ90" s="76" t="str">
        <x:v>GORGONWARS-PREMISE-1.0</x:v>
      </x:c>
      <x:c r="AR90" s="76" t="str"/>
      <x:c r="AS90" s="82" t="str">
        <x:f>IF(A90="","",IF(OR(E90="NOT APPLICABLE",E90="PREMISES UNRESOLVED"),"N/A",IF(OR(AND(F90&lt;&gt;"NO EVIDENCE",F90&lt;&gt;"NOT APPLICABLE",OR(AG90="",AH90="",AI90="",AJ90="",AG90="SYSTEM INFERENCE",AG90="ABSTRACT ONLY",AG90="SECONDARY REPORT",AG90="UNVERIFIED",AI90="Exact locator needed",AI90="HAU forum framing; exact target locator needed",AI90="Forum exchange; exact locator needed")),AND(G90&lt;&gt;"NO EVIDENCE",G90&lt;&gt;"NOT APPLICABLE",OR(AK90="",AL90="",AM90="",AN90="",AK90="SYSTEM INFERENCE",AK90="ABSTRACT ONLY",AK90="SECONDARY REPORT",AK90="UNVERIFIED",AM90="Exact locator needed",AM90="HAU forum framing; exact target locator needed",AM90="Forum exchange; exact locator needed"))),"EVIDENCE DEBT","READY")))</x:f>
        <x:v>READY</x:v>
      </x:c>
      <x:c r="AT90" s="77" t="str">
        <x:v>Added in legal, privacy, due-process, and public-shaming expansion.</x:v>
      </x:c>
    </x:row>
    <x:row r="91" ht="50" customHeight="1">
      <x:c r="A91" s="85" t="n">
        <x:v>86</x:v>
      </x:c>
      <x:c r="B91" s="73" t="str">
        <x:v>Active</x:v>
      </x:c>
      <x:c r="C91" s="89" t="n">
        <x:v>5</x:v>
      </x:c>
      <x:c r="D91" s="82" t="str">
        <x:f>IF(C91="","",IFERROR(VLOOKUP(C91,'Database controls'!$A$5:$B$20,2,FALSE),"NEW / UNCATEGORIZED"))</x:f>
        <x:v>Desire, agency, and sexual ambiguity</x:v>
      </x:c>
      <x:c r="E91" s="73" t="str">
        <x:v>OUTSIDE / EXCOMMUNICABLE</x:v>
      </x:c>
      <x:c r="F91" s="73" t="str">
        <x:v>REJECTS</x:v>
      </x:c>
      <x:c r="G91" s="73" t="str">
        <x:v>NO EVIDENCE</x:v>
      </x:c>
      <x:c r="H91" s="82" t="str">
        <x:f>IF(A91="","",IF(OR(F91="REJECTS",G91="REJECTS"),"OUTSIDE / EXCOMMUNICABLE",IF(AND(OR(F91="RETAINS",F91="RETAINS WITH QUALIFICATION"),OR(G91="RETAINS",G91="RETAINS WITH QUALIFICATION")),"INTERNAL GORGONWARS",IF(AND(F91="NOT APPLICABLE",G91="NOT APPLICABLE"),"NOT APPLICABLE","PREMISES UNRESOLVED"))))</x:f>
        <x:v>OUTSIDE / EXCOMMUNICABLE</x:v>
      </x:c>
      <x:c r="I91" s="82" t="str">
        <x:f>IF(A91="","",IF(E91=H91,"OK",IF(AO91&lt;&gt;"","OVERRIDDEN","REVIEW")))</x:f>
        <x:v>OK</x:v>
      </x:c>
      <x:c r="J91" s="73" t="str">
        <x:v>Foundational critique of converting affirmative-consent ethics into punishable governance</x:v>
      </x:c>
      <x:c r="K91" s="73" t="str">
        <x:v>Foundational antecedent</x:v>
      </x:c>
      <x:c r="L91" s="73" t="str">
        <x:v>Peer-reviewed journal article</x:v>
      </x:c>
      <x:c r="M91" s="73" t="str">
        <x:v>Peer-reviewed</x:v>
      </x:c>
      <x:c r="N91" s="89" t="n">
        <x:v>2016</x:v>
      </x:c>
      <x:c r="O91" s="73" t="str">
        <x:v>Janet Halley</x:v>
      </x:c>
      <x:c r="P91" s="73" t="str">
        <x:v>The Move to Affirmative Consent</x:v>
      </x:c>
      <x:c r="Q91" s="73" t="str">
        <x:v>Signs 42(1):257–279</x:v>
      </x:c>
      <x:c r="R91" s="73" t="str">
        <x:v>English</x:v>
      </x:c>
      <x:c r="S91" s="73" t="str">
        <x:v>A morally attractive consent ideal becomes overinclusive and sex-negative when law turns every departure from it into punishable misconduct.</x:v>
      </x:c>
      <x:c r="T91" s="73" t="str">
        <x:v>A pre-#MeToo consent-law antecedent; critiques affirmative-consent enforcement, not all consent norms or all #MeToo speech.</x:v>
      </x:c>
      <x:c r="U91" s="73" t="str">
        <x:v>Full text verified</x:v>
      </x:c>
      <x:c r="V91" s="73" t="str">
        <x:v>https://signsjournal.org/currents-affirmative-consent/halley/</x:v>
      </x:c>
      <x:c r="W91" s="73" t="str">
        <x:v>10.1086/686904</x:v>
      </x:c>
      <x:c r="X91" s="93" t="n">
        <x:v>46230</x:v>
      </x:c>
      <x:c r="Y91" s="93" t="n">
        <x:v>46230</x:v>
      </x:c>
      <x:c r="Z91" s="73" t="str"/>
      <x:c r="AA91" s="73" t="str"/>
      <x:c r="AB91" s="73" t="n">
        <x:v>86</x:v>
      </x:c>
      <x:c r="AC91" s="73" t="str">
        <x:v>FOUNDATIONAL ANTECEDENT</x:v>
      </x:c>
      <x:c r="AD91" s="73" t="str">
        <x:v>MECHANISM / ADJACENT</x:v>
      </x:c>
      <x:c r="AE91" s="73" t="str">
        <x:v>NO</x:v>
      </x:c>
      <x:c r="AF91" s="73" t="str">
        <x:v>Affirmative-consent rules as punitive regulation of ordinary sex</x:v>
      </x:c>
      <x:c r="AG91" s="73" t="str">
        <x:v>DIRECT EXPLICIT</x:v>
      </x:c>
      <x:c r="AH91" s="73" t="str">
        <x:v>Quote: affirmative-consent rules may create “a new, randomly applied moral order” that is “intensely repressive and sex-negative.”</x:v>
      </x:c>
      <x:c r="AI91" s="73" t="str">
        <x:v>Opening summary and pp. 257–279</x:v>
      </x:c>
      <x:c r="AJ91" s="73" t="str">
        <x:v>https://signsjournal.org/currents-affirmative-consent/halley/</x:v>
      </x:c>
      <x:c r="AK91" s="73" t="str">
        <x:v>NO EVIDENCE</x:v>
      </x:c>
      <x:c r="AL91" s="73" t="str"/>
      <x:c r="AM91" s="73" t="str"/>
      <x:c r="AN91" s="73" t="str"/>
      <x:c r="AO91" s="73" t="str"/>
      <x:c r="AP91" s="73" t="str">
        <x:v>Legal/privacy expansion research pass</x:v>
      </x:c>
      <x:c r="AQ91" s="73" t="str">
        <x:v>GORGONWARS-PREMISE-1.0</x:v>
      </x:c>
      <x:c r="AR91" s="73" t="str"/>
      <x:c r="AS91" s="82" t="str">
        <x:f>IF(A91="","",IF(OR(E91="NOT APPLICABLE",E91="PREMISES UNRESOLVED"),"N/A",IF(OR(AND(F91&lt;&gt;"NO EVIDENCE",F91&lt;&gt;"NOT APPLICABLE",OR(AG91="",AH91="",AI91="",AJ91="",AG91="SYSTEM INFERENCE",AG91="ABSTRACT ONLY",AG91="SECONDARY REPORT",AG91="UNVERIFIED",AI91="Exact locator needed",AI91="HAU forum framing; exact target locator needed",AI91="Forum exchange; exact locator needed")),AND(G91&lt;&gt;"NO EVIDENCE",G91&lt;&gt;"NOT APPLICABLE",OR(AK91="",AL91="",AM91="",AN91="",AK91="SYSTEM INFERENCE",AK91="ABSTRACT ONLY",AK91="SECONDARY REPORT",AK91="UNVERIFIED",AM91="Exact locator needed",AM91="HAU forum framing; exact target locator needed",AM91="Forum exchange; exact locator needed"))),"EVIDENCE DEBT","READY")))</x:f>
        <x:v>READY</x:v>
      </x:c>
      <x:c r="AT91" s="74" t="str">
        <x:v>Added in legal, privacy, due-process, and public-shaming expansion.</x:v>
      </x:c>
    </x:row>
    <x:row r="92" ht="50" customHeight="1">
      <x:c r="A92" s="86" t="n">
        <x:v>87</x:v>
      </x:c>
      <x:c r="B92" s="76" t="str">
        <x:v>Active</x:v>
      </x:c>
      <x:c r="C92" s="90" t="n">
        <x:v>4</x:v>
      </x:c>
      <x:c r="D92" s="82" t="str">
        <x:f>IF(C92="","",IFERROR(VLOOKUP(C92,'Database controls'!$A$5:$B$20,2,FALSE),"NEW / UNCATEGORIZED"))</x:f>
        <x:v>Testimony, belief, and epistemic authority</x:v>
      </x:c>
      <x:c r="E92" s="76" t="str">
        <x:v>OUTSIDE / EXCOMMUNICABLE</x:v>
      </x:c>
      <x:c r="F92" s="76" t="str">
        <x:v>NO EVIDENCE</x:v>
      </x:c>
      <x:c r="G92" s="76" t="str">
        <x:v>REJECTS</x:v>
      </x:c>
      <x:c r="H92" s="82" t="str">
        <x:f>IF(A92="","",IF(OR(F92="REJECTS",G92="REJECTS"),"OUTSIDE / EXCOMMUNICABLE",IF(AND(OR(F92="RETAINS",F92="RETAINS WITH QUALIFICATION"),OR(G92="RETAINS",G92="RETAINS WITH QUALIFICATION")),"INTERNAL GORGONWARS",IF(AND(F92="NOT APPLICABLE",G92="NOT APPLICABLE"),"NOT APPLICABLE","PREMISES UNRESOLVED"))))</x:f>
        <x:v>OUTSIDE / EXCOMMUNICABLE</x:v>
      </x:c>
      <x:c r="I92" s="82" t="str">
        <x:f>IF(A92="","",IF(E92=H92,"OK",IF(AO92&lt;&gt;"","OVERRIDDEN","REVIEW")))</x:f>
        <x:v>OK</x:v>
      </x:c>
      <x:c r="J92" s="76" t="str">
        <x:v>Foundational Title IX challenge to complainant-belief training in adjudication</x:v>
      </x:c>
      <x:c r="K92" s="76" t="str">
        <x:v>Foundational antecedent</x:v>
      </x:c>
      <x:c r="L92" s="76" t="str">
        <x:v>Law review article</x:v>
      </x:c>
      <x:c r="M92" s="76" t="str">
        <x:v>Law review / editorial review</x:v>
      </x:c>
      <x:c r="N92" s="90" t="n">
        <x:v>2015</x:v>
      </x:c>
      <x:c r="O92" s="76" t="str">
        <x:v>Janet Halley</x:v>
      </x:c>
      <x:c r="P92" s="76" t="str">
        <x:v>Trading the Megaphone for the Gavel in Title IX Enforcement</x:v>
      </x:c>
      <x:c r="Q92" s="76" t="str">
        <x:v>Harvard Law Review Forum 128:103–117</x:v>
      </x:c>
      <x:c r="R92" s="76" t="str">
        <x:v>English</x:v>
      </x:c>
      <x:c r="S92" s="76" t="str">
        <x:v>Survivor advocacy can be one-sided, but once advocates investigate and punish, they must test individualized evidence instead of encoding complainant belief or gendered guilt.</x:v>
      </x:c>
      <x:c r="T92" s="76" t="str">
        <x:v>A pre-#MeToo Title IX antecedent; rejects belief as an adjudicative shortcut, not supportive listening or survivor advocacy outside adjudication.</x:v>
      </x:c>
      <x:c r="U92" s="76" t="str">
        <x:v>Full text verified</x:v>
      </x:c>
      <x:c r="V92" s="76" t="str">
        <x:v>https://harvardlawreview.org/forum/vol-128/trading-the-megaphone-for-the-gavel-in-title-ix-enforcement-2/</x:v>
      </x:c>
      <x:c r="W92" s="76" t="str"/>
      <x:c r="X92" s="94" t="n">
        <x:v>46230</x:v>
      </x:c>
      <x:c r="Y92" s="94" t="n">
        <x:v>46230</x:v>
      </x:c>
      <x:c r="Z92" s="76" t="str"/>
      <x:c r="AA92" s="76" t="str"/>
      <x:c r="AB92" s="76" t="n">
        <x:v>87</x:v>
      </x:c>
      <x:c r="AC92" s="76" t="str">
        <x:v>FOUNDATIONAL ANTECEDENT</x:v>
      </x:c>
      <x:c r="AD92" s="76" t="str">
        <x:v>MECHANISM / ADJACENT</x:v>
      </x:c>
      <x:c r="AE92" s="76" t="str">
        <x:v>NO</x:v>
      </x:c>
      <x:c r="AF92" s="76" t="str">
        <x:v>Training investigators to believe complainants when claims appear unreliable or incoherent</x:v>
      </x:c>
      <x:c r="AG92" s="76" t="str">
        <x:v>NO EVIDENCE</x:v>
      </x:c>
      <x:c r="AH92" s="76" t="str"/>
      <x:c r="AI92" s="76" t="str"/>
      <x:c r="AJ92" s="76" t="str">
        <x:v>https://harvardlawreview.org/forum/vol-128/trading-the-megaphone-for-the-gavel-in-title-ix-enforcement-2/</x:v>
      </x:c>
      <x:c r="AK92" s="76" t="str">
        <x:v>DIRECT EXPLICIT</x:v>
      </x:c>
      <x:c r="AL92" s="76" t="str">
        <x:v>Quote: training is “100% aimed to convince them to believe complainants, precisely when they seem unreliable and incoherent.”</x:v>
      </x:c>
      <x:c r="AM92" s="76" t="str">
        <x:v>p. 110; see also pp. 103 and 114</x:v>
      </x:c>
      <x:c r="AN92" s="76" t="str">
        <x:v>https://harvardlawreview.org/forum/vol-128/trading-the-megaphone-for-the-gavel-in-title-ix-enforcement-2/</x:v>
      </x:c>
      <x:c r="AO92" s="76" t="str"/>
      <x:c r="AP92" s="76" t="str">
        <x:v>Legal/privacy expansion research pass</x:v>
      </x:c>
      <x:c r="AQ92" s="76" t="str">
        <x:v>GORGONWARS-PREMISE-1.0</x:v>
      </x:c>
      <x:c r="AR92" s="76" t="str"/>
      <x:c r="AS92" s="82" t="str">
        <x:f>IF(A92="","",IF(OR(E92="NOT APPLICABLE",E92="PREMISES UNRESOLVED"),"N/A",IF(OR(AND(F92&lt;&gt;"NO EVIDENCE",F92&lt;&gt;"NOT APPLICABLE",OR(AG92="",AH92="",AI92="",AJ92="",AG92="SYSTEM INFERENCE",AG92="ABSTRACT ONLY",AG92="SECONDARY REPORT",AG92="UNVERIFIED",AI92="Exact locator needed",AI92="HAU forum framing; exact target locator needed",AI92="Forum exchange; exact locator needed")),AND(G92&lt;&gt;"NO EVIDENCE",G92&lt;&gt;"NOT APPLICABLE",OR(AK92="",AL92="",AM92="",AN92="",AK92="SYSTEM INFERENCE",AK92="ABSTRACT ONLY",AK92="SECONDARY REPORT",AK92="UNVERIFIED",AM92="Exact locator needed",AM92="HAU forum framing; exact target locator needed",AM92="Forum exchange; exact locator needed"))),"EVIDENCE DEBT","READY")))</x:f>
        <x:v>READY</x:v>
      </x:c>
      <x:c r="AT92" s="77" t="str">
        <x:v>Added in legal, privacy, due-process, and public-shaming expansion.</x:v>
      </x:c>
    </x:row>
    <x:row r="93" ht="50" customHeight="1">
      <x:c r="A93" s="85" t="n">
        <x:v>88</x:v>
      </x:c>
      <x:c r="B93" s="73" t="str">
        <x:v>Active</x:v>
      </x:c>
      <x:c r="C93" s="89" t="n">
        <x:v>5</x:v>
      </x:c>
      <x:c r="D93" s="82" t="str">
        <x:f>IF(C93="","",IFERROR(VLOOKUP(C93,'Database controls'!$A$5:$B$20,2,FALSE),"NEW / UNCATEGORIZED"))</x:f>
        <x:v>Desire, agency, and sexual ambiguity</x:v>
      </x:c>
      <x:c r="E93" s="73" t="str">
        <x:v>OUTSIDE / EXCOMMUNICABLE</x:v>
      </x:c>
      <x:c r="F93" s="73" t="str">
        <x:v>REJECTS</x:v>
      </x:c>
      <x:c r="G93" s="73" t="str">
        <x:v>NO EVIDENCE</x:v>
      </x:c>
      <x:c r="H93" s="82" t="str">
        <x:f>IF(A93="","",IF(OR(F93="REJECTS",G93="REJECTS"),"OUTSIDE / EXCOMMUNICABLE",IF(AND(OR(F93="RETAINS",F93="RETAINS WITH QUALIFICATION"),OR(G93="RETAINS",G93="RETAINS WITH QUALIFICATION")),"INTERNAL GORGONWARS",IF(AND(F93="NOT APPLICABLE",G93="NOT APPLICABLE"),"NOT APPLICABLE","PREMISES UNRESOLVED"))))</x:f>
        <x:v>OUTSIDE / EXCOMMUNICABLE</x:v>
      </x:c>
      <x:c r="I93" s="82" t="str">
        <x:f>IF(A93="","",IF(E93=H93,"OK",IF(AO93&lt;&gt;"","OVERRIDDEN","REVIEW")))</x:f>
        <x:v>OK</x:v>
      </x:c>
      <x:c r="J93" s="73" t="str">
        <x:v>Foundational criminal-law rejection of affirmative-consent regulation of ordinary sex</x:v>
      </x:c>
      <x:c r="K93" s="73" t="str">
        <x:v>Foundational antecedent</x:v>
      </x:c>
      <x:c r="L93" s="73" t="str">
        <x:v>Law review article</x:v>
      </x:c>
      <x:c r="M93" s="73" t="str">
        <x:v>Law review / editorial review</x:v>
      </x:c>
      <x:c r="N93" s="89" t="n">
        <x:v>2016</x:v>
      </x:c>
      <x:c r="O93" s="73" t="str">
        <x:v>Aya Gruber</x:v>
      </x:c>
      <x:c r="P93" s="73" t="str">
        <x:v>Not Affirmative Consent</x:v>
      </x:c>
      <x:c r="Q93" s="73" t="str">
        <x:v>University of the Pacific Law Review 47:683–707</x:v>
      </x:c>
      <x:c r="R93" s="73" t="str">
        <x:v>English</x:v>
      </x:c>
      <x:c r="S93" s="73" t="str">
        <x:v>Criminal law should punish coercion and genuine nonconsent, not turn disputed sexual scripts or aspirations for better sex into crimes.</x:v>
      </x:c>
      <x:c r="T93" s="73" t="str">
        <x:v>A pre-#MeToo antecedent that accepts ordinary consent law and rejects affirmative-consent criminalization rather than all legal regulation.</x:v>
      </x:c>
      <x:c r="U93" s="73" t="str">
        <x:v>Full text verified</x:v>
      </x:c>
      <x:c r="V93" s="73" t="str">
        <x:v>https://scholarlycommons.pacific.edu/uoplawreview/vol47/iss4/8/</x:v>
      </x:c>
      <x:c r="W93" s="73" t="str"/>
      <x:c r="X93" s="93" t="n">
        <x:v>46230</x:v>
      </x:c>
      <x:c r="Y93" s="93" t="n">
        <x:v>46230</x:v>
      </x:c>
      <x:c r="Z93" s="73" t="str"/>
      <x:c r="AA93" s="73" t="str"/>
      <x:c r="AB93" s="73" t="n">
        <x:v>88</x:v>
      </x:c>
      <x:c r="AC93" s="73" t="str">
        <x:v>FOUNDATIONAL ANTECEDENT</x:v>
      </x:c>
      <x:c r="AD93" s="73" t="str">
        <x:v>MECHANISM / ADJACENT</x:v>
      </x:c>
      <x:c r="AE93" s="73" t="str">
        <x:v>NO</x:v>
      </x:c>
      <x:c r="AF93" s="73" t="str">
        <x:v>Criminal punishment of sex that lacks affirmative consent but is not otherwise nonconsensual</x:v>
      </x:c>
      <x:c r="AG93" s="73" t="str">
        <x:v>DIRECT EXPLICIT</x:v>
      </x:c>
      <x:c r="AH93" s="73" t="str">
        <x:v>Quote: “sex without affirmative consent should not be an activity regulated by the government through criminal punishment.”</x:v>
      </x:c>
      <x:c r="AI93" s="73" t="str">
        <x:v>p. 683; conclusion p. 707</x:v>
      </x:c>
      <x:c r="AJ93" s="73" t="str">
        <x:v>https://scholarlycommons.pacific.edu/uoplawreview/vol47/iss4/8/</x:v>
      </x:c>
      <x:c r="AK93" s="73" t="str">
        <x:v>NO EVIDENCE</x:v>
      </x:c>
      <x:c r="AL93" s="73" t="str"/>
      <x:c r="AM93" s="73" t="str"/>
      <x:c r="AN93" s="73" t="str"/>
      <x:c r="AO93" s="73" t="str"/>
      <x:c r="AP93" s="73" t="str">
        <x:v>Legal/privacy expansion research pass</x:v>
      </x:c>
      <x:c r="AQ93" s="73" t="str">
        <x:v>GORGONWARS-PREMISE-1.0</x:v>
      </x:c>
      <x:c r="AR93" s="73" t="str"/>
      <x:c r="AS93" s="82" t="str">
        <x:f>IF(A93="","",IF(OR(E93="NOT APPLICABLE",E93="PREMISES UNRESOLVED"),"N/A",IF(OR(AND(F93&lt;&gt;"NO EVIDENCE",F93&lt;&gt;"NOT APPLICABLE",OR(AG93="",AH93="",AI93="",AJ93="",AG93="SYSTEM INFERENCE",AG93="ABSTRACT ONLY",AG93="SECONDARY REPORT",AG93="UNVERIFIED",AI93="Exact locator needed",AI93="HAU forum framing; exact target locator needed",AI93="Forum exchange; exact locator needed")),AND(G93&lt;&gt;"NO EVIDENCE",G93&lt;&gt;"NOT APPLICABLE",OR(AK93="",AL93="",AM93="",AN93="",AK93="SYSTEM INFERENCE",AK93="ABSTRACT ONLY",AK93="SECONDARY REPORT",AK93="UNVERIFIED",AM93="Exact locator needed",AM93="HAU forum framing; exact target locator needed",AM93="Forum exchange; exact locator needed"))),"EVIDENCE DEBT","READY")))</x:f>
        <x:v>READY</x:v>
      </x:c>
      <x:c r="AT93" s="74" t="str">
        <x:v>Added in legal, privacy, due-process, and public-shaming expansion.</x:v>
      </x:c>
    </x:row>
    <x:row r="94" ht="50" customHeight="1">
      <x:c r="A94" s="86" t="n">
        <x:v>89</x:v>
      </x:c>
      <x:c r="B94" s="76" t="str">
        <x:v>Active</x:v>
      </x:c>
      <x:c r="C94" s="90" t="n">
        <x:v>5</x:v>
      </x:c>
      <x:c r="D94" s="82" t="str">
        <x:f>IF(C94="","",IFERROR(VLOOKUP(C94,'Database controls'!$A$5:$B$20,2,FALSE),"NEW / UNCATEGORIZED"))</x:f>
        <x:v>Desire, agency, and sexual ambiguity</x:v>
      </x:c>
      <x:c r="E94" s="76" t="str">
        <x:v>OUTSIDE / EXCOMMUNICABLE</x:v>
      </x:c>
      <x:c r="F94" s="76" t="str">
        <x:v>REJECTS</x:v>
      </x:c>
      <x:c r="G94" s="76" t="str">
        <x:v>NO EVIDENCE</x:v>
      </x:c>
      <x:c r="H94" s="82" t="str">
        <x:f>IF(A94="","",IF(OR(F94="REJECTS",G94="REJECTS"),"OUTSIDE / EXCOMMUNICABLE",IF(AND(OR(F94="RETAINS",F94="RETAINS WITH QUALIFICATION"),OR(G94="RETAINS",G94="RETAINS WITH QUALIFICATION")),"INTERNAL GORGONWARS",IF(AND(F94="NOT APPLICABLE",G94="NOT APPLICABLE"),"NOT APPLICABLE","PREMISES UNRESOLVED"))))</x:f>
        <x:v>OUTSIDE / EXCOMMUNICABLE</x:v>
      </x:c>
      <x:c r="I94" s="82" t="str">
        <x:f>IF(A94="","",IF(E94=H94,"OK",IF(AO94&lt;&gt;"","OVERRIDDEN","REVIEW")))</x:f>
        <x:v>OK</x:v>
      </x:c>
      <x:c r="J94" s="76" t="str">
        <x:v>Foundational critique of hiding contested sexual morality inside consent doctrine</x:v>
      </x:c>
      <x:c r="K94" s="76" t="str">
        <x:v>Foundational antecedent</x:v>
      </x:c>
      <x:c r="L94" s="76" t="str">
        <x:v>Law review article</x:v>
      </x:c>
      <x:c r="M94" s="76" t="str">
        <x:v>Law review / editorial review</x:v>
      </x:c>
      <x:c r="N94" s="90" t="n">
        <x:v>2016</x:v>
      </x:c>
      <x:c r="O94" s="76" t="str">
        <x:v>Aya Gruber</x:v>
      </x:c>
      <x:c r="P94" s="76" t="str">
        <x:v>Consent Confusion</x:v>
      </x:c>
      <x:c r="Q94" s="76" t="str">
        <x:v>Cardozo Law Review 38:415–458</x:v>
      </x:c>
      <x:c r="R94" s="76" t="str">
        <x:v>English</x:v>
      </x:c>
      <x:c r="S94" s="76" t="str">
        <x:v>Affirmative consent hides contested sexual morality inside a neutral-sounding word, handing broad discretion over ambiguous sex to institutions and prosecutors.</x:v>
      </x:c>
      <x:c r="T94" s="76" t="str">
        <x:v>A pre-#MeToo antecedent; does not reject consent or every affirmative-consent formulation.</x:v>
      </x:c>
      <x:c r="U94" s="76" t="str">
        <x:v>Full text verified</x:v>
      </x:c>
      <x:c r="V94" s="76" t="str">
        <x:v>https://scholar.law.colorado.edu/faculty-articles/11/</x:v>
      </x:c>
      <x:c r="W94" s="76" t="str"/>
      <x:c r="X94" s="94" t="n">
        <x:v>46230</x:v>
      </x:c>
      <x:c r="Y94" s="94" t="n">
        <x:v>46230</x:v>
      </x:c>
      <x:c r="Z94" s="76" t="str"/>
      <x:c r="AA94" s="76" t="str"/>
      <x:c r="AB94" s="76" t="n">
        <x:v>89</x:v>
      </x:c>
      <x:c r="AC94" s="76" t="str">
        <x:v>FOUNDATIONAL ANTECEDENT</x:v>
      </x:c>
      <x:c r="AD94" s="76" t="str">
        <x:v>MECHANISM / ADJACENT</x:v>
      </x:c>
      <x:c r="AE94" s="76" t="str">
        <x:v>NO</x:v>
      </x:c>
      <x:c r="AF94" s="76" t="str">
        <x:v>Disputed feminist sexual ethics presented as self-evident criminal consent standards</x:v>
      </x:c>
      <x:c r="AG94" s="76" t="str">
        <x:v>DIRECT ENTAILMENT</x:v>
      </x:c>
      <x:c r="AH94" s="76" t="str">
        <x:v>Quote: “Sexual consent appears a morally self-evident issue of free will, but it actually veils a struggle between various judgments.”</x:v>
      </x:c>
      <x:c r="AI94" s="76" t="str">
        <x:v>Abstract and p. 415; authorial position p. 419; conclusion p. 458</x:v>
      </x:c>
      <x:c r="AJ94" s="76" t="str">
        <x:v>https://scholar.law.colorado.edu/faculty-articles/11/</x:v>
      </x:c>
      <x:c r="AK94" s="76" t="str">
        <x:v>NO EVIDENCE</x:v>
      </x:c>
      <x:c r="AL94" s="76" t="str"/>
      <x:c r="AM94" s="76" t="str"/>
      <x:c r="AN94" s="76" t="str"/>
      <x:c r="AO94" s="76" t="str"/>
      <x:c r="AP94" s="76" t="str">
        <x:v>Legal/privacy expansion research pass</x:v>
      </x:c>
      <x:c r="AQ94" s="76" t="str">
        <x:v>GORGONWARS-PREMISE-1.0</x:v>
      </x:c>
      <x:c r="AR94" s="76" t="str"/>
      <x:c r="AS94" s="82" t="str">
        <x:f>IF(A94="","",IF(OR(E94="NOT APPLICABLE",E94="PREMISES UNRESOLVED"),"N/A",IF(OR(AND(F94&lt;&gt;"NO EVIDENCE",F94&lt;&gt;"NOT APPLICABLE",OR(AG94="",AH94="",AI94="",AJ94="",AG94="SYSTEM INFERENCE",AG94="ABSTRACT ONLY",AG94="SECONDARY REPORT",AG94="UNVERIFIED",AI94="Exact locator needed",AI94="HAU forum framing; exact target locator needed",AI94="Forum exchange; exact locator needed")),AND(G94&lt;&gt;"NO EVIDENCE",G94&lt;&gt;"NOT APPLICABLE",OR(AK94="",AL94="",AM94="",AN94="",AK94="SYSTEM INFERENCE",AK94="ABSTRACT ONLY",AK94="SECONDARY REPORT",AK94="UNVERIFIED",AM94="Exact locator needed",AM94="HAU forum framing; exact target locator needed",AM94="Forum exchange; exact locator needed"))),"EVIDENCE DEBT","READY")))</x:f>
        <x:v>READY</x:v>
      </x:c>
      <x:c r="AT94" s="77" t="str">
        <x:v>Added in legal, privacy, due-process, and public-shaming expansion.</x:v>
      </x:c>
    </x:row>
    <x:row r="95" ht="50" customHeight="1">
      <x:c r="A95" s="85" t="n">
        <x:v>90</x:v>
      </x:c>
      <x:c r="B95" s="73" t="str">
        <x:v>Active</x:v>
      </x:c>
      <x:c r="C95" s="89" t="n">
        <x:v>5</x:v>
      </x:c>
      <x:c r="D95" s="82" t="str">
        <x:f>IF(C95="","",IFERROR(VLOOKUP(C95,'Database controls'!$A$5:$B$20,2,FALSE),"NEW / UNCATEGORIZED"))</x:f>
        <x:v>Desire, agency, and sexual ambiguity</x:v>
      </x:c>
      <x:c r="E95" s="73" t="str">
        <x:v>OUTSIDE / EXCOMMUNICABLE</x:v>
      </x:c>
      <x:c r="F95" s="73" t="str">
        <x:v>REJECTS</x:v>
      </x:c>
      <x:c r="G95" s="73" t="str">
        <x:v>NO EVIDENCE</x:v>
      </x:c>
      <x:c r="H95" s="82" t="str">
        <x:f>IF(A95="","",IF(OR(F95="REJECTS",G95="REJECTS"),"OUTSIDE / EXCOMMUNICABLE",IF(AND(OR(F95="RETAINS",F95="RETAINS WITH QUALIFICATION"),OR(G95="RETAINS",G95="RETAINS WITH QUALIFICATION")),"INTERNAL GORGONWARS",IF(AND(F95="NOT APPLICABLE",G95="NOT APPLICABLE"),"NOT APPLICABLE","PREMISES UNRESOLVED"))))</x:f>
        <x:v>OUTSIDE / EXCOMMUNICABLE</x:v>
      </x:c>
      <x:c r="I95" s="82" t="str">
        <x:f>IF(A95="","",IF(E95=H95,"OK",IF(AO95&lt;&gt;"","OVERRIDDEN","REVIEW")))</x:f>
        <x:v>OK</x:v>
      </x:c>
      <x:c r="J95" s="73" t="str">
        <x:v>Movement-adjacent critique of punitive sex exceptionalism</x:v>
      </x:c>
      <x:c r="K95" s="73" t="str">
        <x:v>Movement-adjacent</x:v>
      </x:c>
      <x:c r="L95" s="73" t="str">
        <x:v>Law review article</x:v>
      </x:c>
      <x:c r="M95" s="73" t="str">
        <x:v>Law review / editorial review</x:v>
      </x:c>
      <x:c r="N95" s="89" t="n">
        <x:v>2023</x:v>
      </x:c>
      <x:c r="O95" s="73" t="str">
        <x:v>Aya Gruber</x:v>
      </x:c>
      <x:c r="P95" s="73" t="str">
        <x:v>Sex Exceptionalism in Criminal Law</x:v>
      </x:c>
      <x:c r="Q95" s="73" t="str">
        <x:v>Stanford Law Review 75:755–848</x:v>
      </x:c>
      <x:c r="R95" s="73" t="str">
        <x:v>English</x:v>
      </x:c>
      <x:c r="S95" s="73" t="str">
        <x:v>Treating sexual wrongs as categorically exceptional lets punishment expand from violence to consensual commerce while suspending ordinary liberal and anti-carceral limits.</x:v>
      </x:c>
      <x:c r="T95" s="73" t="str">
        <x:v>Broader criminal-law theory rather than a dedicated #MeToo article; the premise mapping is an entailment from its critique of sex exceptionalism.</x:v>
      </x:c>
      <x:c r="U95" s="73" t="str">
        <x:v>Full text verified</x:v>
      </x:c>
      <x:c r="V95" s="73" t="str">
        <x:v>https://scholar.law.colorado.edu/faculty-articles/1595/</x:v>
      </x:c>
      <x:c r="W95" s="73" t="str"/>
      <x:c r="X95" s="93" t="n">
        <x:v>46230</x:v>
      </x:c>
      <x:c r="Y95" s="93" t="n">
        <x:v>46230</x:v>
      </x:c>
      <x:c r="Z95" s="73" t="str"/>
      <x:c r="AA95" s="73" t="str"/>
      <x:c r="AB95" s="73" t="n">
        <x:v>90</x:v>
      </x:c>
      <x:c r="AC95" s="73" t="str">
        <x:v>ADJACENT CONTEXT</x:v>
      </x:c>
      <x:c r="AD95" s="73" t="str">
        <x:v>MECHANISM / ADJACENT</x:v>
      </x:c>
      <x:c r="AE95" s="73" t="str">
        <x:v>ADJACENT</x:v>
      </x:c>
      <x:c r="AF95" s="73" t="str">
        <x:v>Exceptional punitive regulation of sex and consensual sexual commerce</x:v>
      </x:c>
      <x:c r="AG95" s="73" t="str">
        <x:v>DIRECT ENTAILMENT</x:v>
      </x:c>
      <x:c r="AH95" s="73" t="str">
        <x:v>Quote: sex exceptionalism is “neither natural nor neutral, and its political history should give us pause.”</x:v>
      </x:c>
      <x:c r="AI95" s="73" t="str">
        <x:v>Abstract; article begins p. 755</x:v>
      </x:c>
      <x:c r="AJ95" s="73" t="str">
        <x:v>https://scholar.law.colorado.edu/faculty-articles/1595/</x:v>
      </x:c>
      <x:c r="AK95" s="73" t="str">
        <x:v>NO EVIDENCE</x:v>
      </x:c>
      <x:c r="AL95" s="73" t="str"/>
      <x:c r="AM95" s="73" t="str"/>
      <x:c r="AN95" s="73" t="str"/>
      <x:c r="AO95" s="73" t="str"/>
      <x:c r="AP95" s="73" t="str">
        <x:v>Legal/privacy expansion research pass</x:v>
      </x:c>
      <x:c r="AQ95" s="73" t="str">
        <x:v>GORGONWARS-PREMISE-1.0</x:v>
      </x:c>
      <x:c r="AR95" s="73" t="str"/>
      <x:c r="AS95" s="82" t="str">
        <x:f>IF(A95="","",IF(OR(E95="NOT APPLICABLE",E95="PREMISES UNRESOLVED"),"N/A",IF(OR(AND(F95&lt;&gt;"NO EVIDENCE",F95&lt;&gt;"NOT APPLICABLE",OR(AG95="",AH95="",AI95="",AJ95="",AG95="SYSTEM INFERENCE",AG95="ABSTRACT ONLY",AG95="SECONDARY REPORT",AG95="UNVERIFIED",AI95="Exact locator needed",AI95="HAU forum framing; exact target locator needed",AI95="Forum exchange; exact locator needed")),AND(G95&lt;&gt;"NO EVIDENCE",G95&lt;&gt;"NOT APPLICABLE",OR(AK95="",AL95="",AM95="",AN95="",AK95="SYSTEM INFERENCE",AK95="ABSTRACT ONLY",AK95="SECONDARY REPORT",AK95="UNVERIFIED",AM95="Exact locator needed",AM95="HAU forum framing; exact target locator needed",AM95="Forum exchange; exact locator needed"))),"EVIDENCE DEBT","READY")))</x:f>
        <x:v>READY</x:v>
      </x:c>
      <x:c r="AT95" s="74" t="str">
        <x:v>Added in legal, privacy, due-process, and public-shaming expansion.</x:v>
      </x:c>
    </x:row>
    <x:row r="96" ht="50" customHeight="1">
      <x:c r="A96" s="86" t="n">
        <x:v>91</x:v>
      </x:c>
      <x:c r="B96" s="76" t="str">
        <x:v>Active</x:v>
      </x:c>
      <x:c r="C96" s="90" t="n">
        <x:v>4</x:v>
      </x:c>
      <x:c r="D96" s="82" t="str">
        <x:f>IF(C96="","",IFERROR(VLOOKUP(C96,'Database controls'!$A$5:$B$20,2,FALSE),"NEW / UNCATEGORIZED"))</x:f>
        <x:v>Testimony, belief, and epistemic authority</x:v>
      </x:c>
      <x:c r="E96" s="76" t="str">
        <x:v>OUTSIDE / EXCOMMUNICABLE</x:v>
      </x:c>
      <x:c r="F96" s="76" t="str">
        <x:v>NO EVIDENCE</x:v>
      </x:c>
      <x:c r="G96" s="76" t="str">
        <x:v>REJECTS</x:v>
      </x:c>
      <x:c r="H96" s="82" t="str">
        <x:f>IF(A96="","",IF(OR(F96="REJECTS",G96="REJECTS"),"OUTSIDE / EXCOMMUNICABLE",IF(AND(OR(F96="RETAINS",F96="RETAINS WITH QUALIFICATION"),OR(G96="RETAINS",G96="RETAINS WITH QUALIFICATION")),"INTERNAL GORGONWARS",IF(AND(F96="NOT APPLICABLE",G96="NOT APPLICABLE"),"NOT APPLICABLE","PREMISES UNRESOLVED"))))</x:f>
        <x:v>OUTSIDE / EXCOMMUNICABLE</x:v>
      </x:c>
      <x:c r="I96" s="82" t="str">
        <x:f>IF(A96="","",IF(E96=H96,"OK",IF(AO96&lt;&gt;"","OVERRIDDEN","REVIEW")))</x:f>
        <x:v>OK</x:v>
      </x:c>
      <x:c r="J96" s="76" t="str">
        <x:v>Campus adjudication critique of complainant status as a right to a finding</x:v>
      </x:c>
      <x:c r="K96" s="76" t="str">
        <x:v>Movement-adjacent</x:v>
      </x:c>
      <x:c r="L96" s="76" t="str">
        <x:v>Law review article</x:v>
      </x:c>
      <x:c r="M96" s="76" t="str">
        <x:v>Law review / editorial review</x:v>
      </x:c>
      <x:c r="N96" s="90" t="n">
        <x:v>2018</x:v>
      </x:c>
      <x:c r="O96" s="76" t="str">
        <x:v>Cynthia V. Ward</x:v>
      </x:c>
      <x:c r="P96" s="76" t="str">
        <x:v>Restoring Fairness to Campus Sex Tribunals</x:v>
      </x:c>
      <x:c r="Q96" s="76" t="str">
        <x:v>Tennessee Law Review 85:1073–1138</x:v>
      </x:c>
      <x:c r="R96" s="76" t="str">
        <x:v>English</x:v>
      </x:c>
      <x:c r="S96" s="76" t="str">
        <x:v>Taking sexual assault seriously requires neutral fact-finding, defined offenses, real defense rights, and proportionate penalties because status-based judgment can wrong everyone.</x:v>
      </x:c>
      <x:c r="T96" s="76" t="str">
        <x:v>Rejects status-based adjudicative authority in campus tribunals, not feminist standpoint epistemology in every setting.</x:v>
      </x:c>
      <x:c r="U96" s="76" t="str">
        <x:v>Full text verified</x:v>
      </x:c>
      <x:c r="V96" s="76" t="str">
        <x:v>https://scholarship.law.wm.edu/facpubs/1905/</x:v>
      </x:c>
      <x:c r="W96" s="76" t="str"/>
      <x:c r="X96" s="94" t="n">
        <x:v>46230</x:v>
      </x:c>
      <x:c r="Y96" s="94" t="n">
        <x:v>46230</x:v>
      </x:c>
      <x:c r="Z96" s="76" t="str"/>
      <x:c r="AA96" s="76" t="str"/>
      <x:c r="AB96" s="76" t="n">
        <x:v>91</x:v>
      </x:c>
      <x:c r="AC96" s="76" t="str">
        <x:v>ADJACENT CONTEXT</x:v>
      </x:c>
      <x:c r="AD96" s="76" t="str">
        <x:v>EXPLICIT CRITIQUE</x:v>
      </x:c>
      <x:c r="AE96" s="76" t="str">
        <x:v>ADJACENT</x:v>
      </x:c>
      <x:c r="AF96" s="76" t="str">
        <x:v>Complainant status determining liability or sanction in campus sex tribunals</x:v>
      </x:c>
      <x:c r="AG96" s="76" t="str">
        <x:v>NO EVIDENCE</x:v>
      </x:c>
      <x:c r="AH96" s="76" t="str"/>
      <x:c r="AI96" s="76" t="str"/>
      <x:c r="AJ96" s="76" t="str">
        <x:v>https://scholarship.law.wm.edu/facpubs/1905/</x:v>
      </x:c>
      <x:c r="AK96" s="76" t="str">
        <x:v>DIRECT EXPLICIT</x:v>
      </x:c>
      <x:c r="AL96" s="76" t="str">
        <x:v>Quote: “Victims do not have a ‘right’ that the person they accuse be unjustly found liable or unfairly sanctioned.”</x:v>
      </x:c>
      <x:c r="AM96" s="76" t="str">
        <x:v>p. 1125</x:v>
      </x:c>
      <x:c r="AN96" s="76" t="str">
        <x:v>https://scholarship.law.wm.edu/facpubs/1905/</x:v>
      </x:c>
      <x:c r="AO96" s="76" t="str"/>
      <x:c r="AP96" s="76" t="str">
        <x:v>Legal/privacy expansion research pass</x:v>
      </x:c>
      <x:c r="AQ96" s="76" t="str">
        <x:v>GORGONWARS-PREMISE-1.0</x:v>
      </x:c>
      <x:c r="AR96" s="76" t="str"/>
      <x:c r="AS96" s="82" t="str">
        <x:f>IF(A96="","",IF(OR(E96="NOT APPLICABLE",E96="PREMISES UNRESOLVED"),"N/A",IF(OR(AND(F96&lt;&gt;"NO EVIDENCE",F96&lt;&gt;"NOT APPLICABLE",OR(AG96="",AH96="",AI96="",AJ96="",AG96="SYSTEM INFERENCE",AG96="ABSTRACT ONLY",AG96="SECONDARY REPORT",AG96="UNVERIFIED",AI96="Exact locator needed",AI96="HAU forum framing; exact target locator needed",AI96="Forum exchange; exact locator needed")),AND(G96&lt;&gt;"NO EVIDENCE",G96&lt;&gt;"NOT APPLICABLE",OR(AK96="",AL96="",AM96="",AN96="",AK96="SYSTEM INFERENCE",AK96="ABSTRACT ONLY",AK96="SECONDARY REPORT",AK96="UNVERIFIED",AM96="Exact locator needed",AM96="HAU forum framing; exact target locator needed",AM96="Forum exchange; exact locator needed"))),"EVIDENCE DEBT","READY")))</x:f>
        <x:v>READY</x:v>
      </x:c>
      <x:c r="AT96" s="77" t="str">
        <x:v>Added in legal, privacy, due-process, and public-shaming expansion.</x:v>
      </x:c>
    </x:row>
    <x:row r="97" ht="50" customHeight="1">
      <x:c r="A97" s="85" t="n">
        <x:v>92</x:v>
      </x:c>
      <x:c r="B97" s="73" t="str">
        <x:v>Active</x:v>
      </x:c>
      <x:c r="C97" s="89" t="n">
        <x:v>4</x:v>
      </x:c>
      <x:c r="D97" s="82" t="str">
        <x:f>IF(C97="","",IFERROR(VLOOKUP(C97,'Database controls'!$A$5:$B$20,2,FALSE),"NEW / UNCATEGORIZED"))</x:f>
        <x:v>Testimony, belief, and epistemic authority</x:v>
      </x:c>
      <x:c r="E97" s="73" t="str">
        <x:v>OUTSIDE / EXCOMMUNICABLE</x:v>
      </x:c>
      <x:c r="F97" s="73" t="str">
        <x:v>NO EVIDENCE</x:v>
      </x:c>
      <x:c r="G97" s="73" t="str">
        <x:v>REJECTS</x:v>
      </x:c>
      <x:c r="H97" s="82" t="str">
        <x:f>IF(A97="","",IF(OR(F97="REJECTS",G97="REJECTS"),"OUTSIDE / EXCOMMUNICABLE",IF(AND(OR(F97="RETAINS",F97="RETAINS WITH QUALIFICATION"),OR(G97="RETAINS",G97="RETAINS WITH QUALIFICATION")),"INTERNAL GORGONWARS",IF(AND(F97="NOT APPLICABLE",G97="NOT APPLICABLE"),"NOT APPLICABLE","PREMISES UNRESOLVED"))))</x:f>
        <x:v>OUTSIDE / EXCOMMUNICABLE</x:v>
      </x:c>
      <x:c r="I97" s="82" t="str">
        <x:f>IF(A97="","",IF(E97=H97,"OK",IF(AO97&lt;&gt;"","OVERRIDDEN","REVIEW")))</x:f>
        <x:v>OK</x:v>
      </x:c>
      <x:c r="J97" s="73" t="str">
        <x:v>Forensic critique of trauma-position as a substitute for credibility testing</x:v>
      </x:c>
      <x:c r="K97" s="73" t="str">
        <x:v>Movement-adjacent</x:v>
      </x:c>
      <x:c r="L97" s="73" t="str">
        <x:v>Law review article</x:v>
      </x:c>
      <x:c r="M97" s="73" t="str">
        <x:v>Law review / editorial review</x:v>
      </x:c>
      <x:c r="N97" s="89" t="n">
        <x:v>2021</x:v>
      </x:c>
      <x:c r="O97" s="73" t="str">
        <x:v>Cynthia V. Ward</x:v>
      </x:c>
      <x:c r="P97" s="73" t="str">
        <x:v>Trauma and Memory in the Prosecution of Sexual Assault</x:v>
      </x:c>
      <x:c r="Q97" s="73" t="str">
        <x:v>Law &amp; Psychology Review 45:87–154</x:v>
      </x:c>
      <x:c r="R97" s="73" t="str">
        <x:v>English</x:v>
      </x:c>
      <x:c r="S97" s="73" t="str">
        <x:v>Trauma theory should not substitute for fact-testing when the science is unsettled, because it can immunize inconsistent claims and make accurate verdicts less likely.</x:v>
      </x:c>
      <x:c r="T97" s="73" t="str">
        <x:v>Targets forensic use of trauma concepts, not support or therapy and not survivor testimony generally.</x:v>
      </x:c>
      <x:c r="U97" s="73" t="str">
        <x:v>Full text verified</x:v>
      </x:c>
      <x:c r="V97" s="73" t="str">
        <x:v>https://scholarship.law.wm.edu/facpubs/2048/</x:v>
      </x:c>
      <x:c r="W97" s="73" t="str"/>
      <x:c r="X97" s="93" t="n">
        <x:v>46230</x:v>
      </x:c>
      <x:c r="Y97" s="93" t="n">
        <x:v>46230</x:v>
      </x:c>
      <x:c r="Z97" s="73" t="str"/>
      <x:c r="AA97" s="73" t="str"/>
      <x:c r="AB97" s="73" t="n">
        <x:v>92</x:v>
      </x:c>
      <x:c r="AC97" s="73" t="str">
        <x:v>ADJACENT CONTEXT</x:v>
      </x:c>
      <x:c r="AD97" s="73" t="str">
        <x:v>EXPLICIT CRITIQUE</x:v>
      </x:c>
      <x:c r="AE97" s="73" t="str">
        <x:v>ADJACENT</x:v>
      </x:c>
      <x:c r="AF97" s="73" t="str">
        <x:v>Using trauma and traumatic-memory concepts as credibility authority in sexual-assault processing</x:v>
      </x:c>
      <x:c r="AG97" s="73" t="str">
        <x:v>NO EVIDENCE</x:v>
      </x:c>
      <x:c r="AH97" s="73" t="str"/>
      <x:c r="AI97" s="73" t="str"/>
      <x:c r="AJ97" s="73" t="str">
        <x:v>https://scholarship.law.wm.edu/facpubs/2048/</x:v>
      </x:c>
      <x:c r="AK97" s="73" t="str">
        <x:v>DIRECT ENTAILMENT</x:v>
      </x:c>
      <x:c r="AL97" s="73" t="str">
        <x:v>Paraphrase: The article questions importing psychological conceptions of trauma and traumatic memory into sexual-assault case processing as a substitute for reliable factual assessment.</x:v>
      </x:c>
      <x:c r="AM97" s="73" t="str">
        <x:v>Abstract and pp. 87–154</x:v>
      </x:c>
      <x:c r="AN97" s="73" t="str">
        <x:v>https://scholarship.law.wm.edu/facpubs/2048/</x:v>
      </x:c>
      <x:c r="AO97" s="73" t="str"/>
      <x:c r="AP97" s="73" t="str">
        <x:v>Legal/privacy expansion research pass</x:v>
      </x:c>
      <x:c r="AQ97" s="73" t="str">
        <x:v>GORGONWARS-PREMISE-1.0</x:v>
      </x:c>
      <x:c r="AR97" s="73" t="str"/>
      <x:c r="AS97" s="82" t="str">
        <x:f>IF(A97="","",IF(OR(E97="NOT APPLICABLE",E97="PREMISES UNRESOLVED"),"N/A",IF(OR(AND(F97&lt;&gt;"NO EVIDENCE",F97&lt;&gt;"NOT APPLICABLE",OR(AG97="",AH97="",AI97="",AJ97="",AG97="SYSTEM INFERENCE",AG97="ABSTRACT ONLY",AG97="SECONDARY REPORT",AG97="UNVERIFIED",AI97="Exact locator needed",AI97="HAU forum framing; exact target locator needed",AI97="Forum exchange; exact locator needed")),AND(G97&lt;&gt;"NO EVIDENCE",G97&lt;&gt;"NOT APPLICABLE",OR(AK97="",AL97="",AM97="",AN97="",AK97="SYSTEM INFERENCE",AK97="ABSTRACT ONLY",AK97="SECONDARY REPORT",AK97="UNVERIFIED",AM97="Exact locator needed",AM97="HAU forum framing; exact target locator needed",AM97="Forum exchange; exact locator needed"))),"EVIDENCE DEBT","READY")))</x:f>
        <x:v>READY</x:v>
      </x:c>
      <x:c r="AT97" s="74" t="str">
        <x:v>Added in legal, privacy, due-process, and public-shaming expansion.</x:v>
      </x:c>
    </x:row>
    <x:row r="98" ht="50" customHeight="1">
      <x:c r="A98" s="86" t="n">
        <x:v>93</x:v>
      </x:c>
      <x:c r="B98" s="76" t="str">
        <x:v>Provisional</x:v>
      </x:c>
      <x:c r="C98" s="90" t="n">
        <x:v>4</x:v>
      </x:c>
      <x:c r="D98" s="82" t="str">
        <x:f>IF(C98="","",IFERROR(VLOOKUP(C98,'Database controls'!$A$5:$B$20,2,FALSE),"NEW / UNCATEGORIZED"))</x:f>
        <x:v>Testimony, belief, and epistemic authority</x:v>
      </x:c>
      <x:c r="E98" s="76" t="str">
        <x:v>OUTSIDE / EXCOMMUNICABLE</x:v>
      </x:c>
      <x:c r="F98" s="76" t="str">
        <x:v>NO EVIDENCE</x:v>
      </x:c>
      <x:c r="G98" s="76" t="str">
        <x:v>REJECTS</x:v>
      </x:c>
      <x:c r="H98" s="82" t="str">
        <x:f>IF(A98="","",IF(OR(F98="REJECTS",G98="REJECTS"),"OUTSIDE / EXCOMMUNICABLE",IF(AND(OR(F98="RETAINS",F98="RETAINS WITH QUALIFICATION"),OR(G98="RETAINS",G98="RETAINS WITH QUALIFICATION")),"INTERNAL GORGONWARS",IF(AND(F98="NOT APPLICABLE",G98="NOT APPLICABLE"),"NOT APPLICABLE","PREMISES UNRESOLVED"))))</x:f>
        <x:v>OUTSIDE / EXCOMMUNICABLE</x:v>
      </x:c>
      <x:c r="I98" s="82" t="str">
        <x:f>IF(A98="","",IF(E98=H98,"OK",IF(AO98&lt;&gt;"","OVERRIDDEN","REVIEW")))</x:f>
        <x:v>OK</x:v>
      </x:c>
      <x:c r="J98" s="76" t="str">
        <x:v>Direct #BelieveWomen analysis separating epistemic respect from commanded legal belief</x:v>
      </x:c>
      <x:c r="K98" s="76" t="str">
        <x:v>Direct #MeToo critique</x:v>
      </x:c>
      <x:c r="L98" s="76" t="str">
        <x:v>Book chapter</x:v>
      </x:c>
      <x:c r="M98" s="76" t="str">
        <x:v>Unresolved</x:v>
      </x:c>
      <x:c r="N98" s="90" t="n">
        <x:v>2021</x:v>
      </x:c>
      <x:c r="O98" s="76" t="str">
        <x:v>Kimberly Kessler Ferzan</x:v>
      </x:c>
      <x:c r="P98" s="76" t="str">
        <x:v>#BelieveWomen and the Presumption of Innocence: Clarifying the Questions for Law and Life</x:v>
      </x:c>
      <x:c r="Q98" s="76" t="str">
        <x:v>Truth and Evidence: NOMOS LXIV, NYU Press:65–108</x:v>
      </x:c>
      <x:c r="R98" s="76" t="str">
        <x:v>English</x:v>
      </x:c>
      <x:c r="S98" s="76" t="str">
        <x:v>Law can correct unjust credibility deficits and respect women as knowers while still refusing gendered belief as an adjudicative command when evidence is contested.</x:v>
      </x:c>
      <x:c r="T98" s="76" t="str">
        <x:v>A scholarly book chapter; does not reject every corrective response to testimonial injustice or every nonlegal appeal to trust.</x:v>
      </x:c>
      <x:c r="U98" s="76" t="str">
        <x:v>Abstract only</x:v>
      </x:c>
      <x:c r="V98" s="76" t="str">
        <x:v>https://academic.oup.com/nyu-press-scholarship-online/book/42457/chapter-abstract/356722666</x:v>
      </x:c>
      <x:c r="W98" s="76" t="str">
        <x:v>10.18574/nyu/9781479811595.003.0005</x:v>
      </x:c>
      <x:c r="X98" s="94" t="n">
        <x:v>46230</x:v>
      </x:c>
      <x:c r="Y98" s="94" t="n">
        <x:v>46230</x:v>
      </x:c>
      <x:c r="Z98" s="76" t="str"/>
      <x:c r="AA98" s="76" t="str"/>
      <x:c r="AB98" s="76" t="n">
        <x:v>93</x:v>
      </x:c>
      <x:c r="AC98" s="76" t="str">
        <x:v>DIRECT OUTSIDE CRITIQUE</x:v>
      </x:c>
      <x:c r="AD98" s="76" t="str">
        <x:v>MIXED / QUALIFIED CRITIQUE</x:v>
      </x:c>
      <x:c r="AE98" s="76" t="str">
        <x:v>YES</x:v>
      </x:c>
      <x:c r="AF98" s="76" t="str">
        <x:v>Gendered belief commands in law while preserving epistemic respect</x:v>
      </x:c>
      <x:c r="AG98" s="76" t="str">
        <x:v>NO EVIDENCE</x:v>
      </x:c>
      <x:c r="AH98" s="76" t="str"/>
      <x:c r="AI98" s="76" t="str"/>
      <x:c r="AJ98" s="76" t="str">
        <x:v>https://academic.oup.com/nyu-press-scholarship-online/book/42457/chapter-abstract/356722666</x:v>
      </x:c>
      <x:c r="AK98" s="76" t="str">
        <x:v>ABSTRACT ONLY</x:v>
      </x:c>
      <x:c r="AL98" s="76" t="str">
        <x:v>Quote: law may not accommodate “a demand that we believe women,” though it can treat women “respectfully as epistemic agents.”</x:v>
      </x:c>
      <x:c r="AM98" s="76" t="str">
        <x:v>Abstract; chapter pp. 65–108</x:v>
      </x:c>
      <x:c r="AN98" s="76" t="str">
        <x:v>https://academic.oup.com/nyu-press-scholarship-online/book/42457/chapter-abstract/356722666</x:v>
      </x:c>
      <x:c r="AO98" s="76" t="str"/>
      <x:c r="AP98" s="76" t="str">
        <x:v>Legal/privacy expansion research pass</x:v>
      </x:c>
      <x:c r="AQ98" s="76" t="str">
        <x:v>GORGONWARS-PREMISE-1.0</x:v>
      </x:c>
      <x:c r="AR98" s="76" t="str"/>
      <x:c r="AS98" s="82" t="str">
        <x:f>IF(A98="","",IF(OR(E98="NOT APPLICABLE",E98="PREMISES UNRESOLVED"),"N/A",IF(OR(AND(F98&lt;&gt;"NO EVIDENCE",F98&lt;&gt;"NOT APPLICABLE",OR(AG98="",AH98="",AI98="",AJ98="",AG98="SYSTEM INFERENCE",AG98="ABSTRACT ONLY",AG98="SECONDARY REPORT",AG98="UNVERIFIED",AI98="Exact locator needed",AI98="HAU forum framing; exact target locator needed",AI98="Forum exchange; exact locator needed")),AND(G98&lt;&gt;"NO EVIDENCE",G98&lt;&gt;"NOT APPLICABLE",OR(AK98="",AL98="",AM98="",AN98="",AK98="SYSTEM INFERENCE",AK98="ABSTRACT ONLY",AK98="SECONDARY REPORT",AK98="UNVERIFIED",AM98="Exact locator needed",AM98="HAU forum framing; exact target locator needed",AM98="Forum exchange; exact locator needed"))),"EVIDENCE DEBT","READY")))</x:f>
        <x:v>EVIDENCE DEBT</x:v>
      </x:c>
      <x:c r="AT98" s="77" t="str">
        <x:v>Added in legal, privacy, due-process, and public-shaming expansion.</x:v>
      </x:c>
    </x:row>
    <x:row r="99" ht="50" customHeight="1">
      <x:c r="A99" s="85" t="n">
        <x:v>94</x:v>
      </x:c>
      <x:c r="B99" s="73" t="str">
        <x:v>Active</x:v>
      </x:c>
      <x:c r="C99" s="89" t="n">
        <x:v>6</x:v>
      </x:c>
      <x:c r="D99" s="82" t="str">
        <x:f>IF(C99="","",IFERROR(VLOOKUP(C99,'Database controls'!$A$5:$B$20,2,FALSE),"NEW / UNCATEGORIZED"))</x:f>
        <x:v>Due process, punishment, and procedural limits</x:v>
      </x:c>
      <x:c r="E99" s="73" t="str">
        <x:v>OUTSIDE / EXCOMMUNICABLE</x:v>
      </x:c>
      <x:c r="F99" s="73" t="str">
        <x:v>REJECTS</x:v>
      </x:c>
      <x:c r="G99" s="73" t="str">
        <x:v>REJECTS</x:v>
      </x:c>
      <x:c r="H99" s="82" t="str">
        <x:f>IF(A99="","",IF(OR(F99="REJECTS",G99="REJECTS"),"OUTSIDE / EXCOMMUNICABLE",IF(AND(OR(F99="RETAINS",F99="RETAINS WITH QUALIFICATION"),OR(G99="RETAINS",G99="RETAINS WITH QUALIFICATION")),"INTERNAL GORGONWARS",IF(AND(F99="NOT APPLICABLE",G99="NOT APPLICABLE"),"NOT APPLICABLE","PREMISES UNRESOLVED"))))</x:f>
        <x:v>OUTSIDE / EXCOMMUNICABLE</x:v>
      </x:c>
      <x:c r="I99" s="82" t="str">
        <x:f>IF(A99="","",IF(E99=H99,"OK",IF(AO99&lt;&gt;"","OVERRIDDEN","REVIEW")))</x:f>
        <x:v>OK</x:v>
      </x:c>
      <x:c r="J99" s="73" t="str">
        <x:v>Direct comparative critique of social media rumor as a #MeToo tribunal</x:v>
      </x:c>
      <x:c r="K99" s="73" t="str">
        <x:v>Direct #MeToo critique</x:v>
      </x:c>
      <x:c r="L99" s="73" t="str">
        <x:v>Peer-reviewed journal article</x:v>
      </x:c>
      <x:c r="M99" s="73" t="str">
        <x:v>Peer-reviewed</x:v>
      </x:c>
      <x:c r="N99" s="89" t="n">
        <x:v>2019</x:v>
      </x:c>
      <x:c r="O99" s="73" t="str">
        <x:v>Anne Wagner and Sarah Marusek</x:v>
      </x:c>
      <x:c r="P99" s="73" t="str">
        <x:v>A Cacophony of Speech, Law, and Persona: Battling Against the Vortex of #MeToo in France and the U.S.</x:v>
      </x:c>
      <x:c r="Q99" s="73" t="str">
        <x:v>Journal of Civil Law Studies 12(2)</x:v>
      </x:c>
      <x:c r="R99" s="73" t="str">
        <x:v>English</x:v>
      </x:c>
      <x:c r="S99" s="73" t="str">
        <x:v>Hashtag accusation can collapse speech, law, and persona into a reputational tribunal that punishes before evidence has been tested.</x:v>
      </x:c>
      <x:c r="T99" s="73" t="str">
        <x:v>Recognizes #MeToo’s valid awareness function and does not deny proven sexual violence.</x:v>
      </x:c>
      <x:c r="U99" s="73" t="str">
        <x:v>Full text verified</x:v>
      </x:c>
      <x:c r="V99" s="73" t="str">
        <x:v>https://digitalcommons.law.lsu.edu/jcls/vol12/iss2/3/</x:v>
      </x:c>
      <x:c r="W99" s="73" t="str"/>
      <x:c r="X99" s="93" t="n">
        <x:v>46230</x:v>
      </x:c>
      <x:c r="Y99" s="93" t="n">
        <x:v>46230</x:v>
      </x:c>
      <x:c r="Z99" s="73" t="str"/>
      <x:c r="AA99" s="73" t="str"/>
      <x:c r="AB99" s="73" t="n">
        <x:v>94</x:v>
      </x:c>
      <x:c r="AC99" s="73" t="str">
        <x:v>DIRECT OUTSIDE CRITIQUE</x:v>
      </x:c>
      <x:c r="AD99" s="73" t="str">
        <x:v>EXPLICIT CRITIQUE</x:v>
      </x:c>
      <x:c r="AE99" s="73" t="str">
        <x:v>YES</x:v>
      </x:c>
      <x:c r="AF99" s="73" t="str">
        <x:v>Legally untested rumor and social media as a reputational tribunal</x:v>
      </x:c>
      <x:c r="AG99" s="73" t="str">
        <x:v>DIRECT ENTAILMENT</x:v>
      </x:c>
      <x:c r="AH99" s="73" t="str">
        <x:v>Quote: judgment is often based on “legally unsubstantiated rumor.”</x:v>
      </x:c>
      <x:c r="AI99" s="73" t="str">
        <x:v>pp. 258–259; see also pp. 253 and 261</x:v>
      </x:c>
      <x:c r="AJ99" s="73" t="str">
        <x:v>https://digitalcommons.law.lsu.edu/jcls/vol12/iss2/3/</x:v>
      </x:c>
      <x:c r="AK99" s="73" t="str">
        <x:v>DIRECT ENTAILMENT</x:v>
      </x:c>
      <x:c r="AL99" s="73" t="str">
        <x:v>Paraphrase: Legally unsubstantiated rumor cannot receive verdict-like authority merely through hashtag amplification.</x:v>
      </x:c>
      <x:c r="AM99" s="73" t="str">
        <x:v>pp. 258–259; see also pp. 253 and 261</x:v>
      </x:c>
      <x:c r="AN99" s="73" t="str">
        <x:v>https://digitalcommons.law.lsu.edu/jcls/vol12/iss2/3/</x:v>
      </x:c>
      <x:c r="AO99" s="73" t="str"/>
      <x:c r="AP99" s="73" t="str">
        <x:v>Legal/privacy expansion research pass</x:v>
      </x:c>
      <x:c r="AQ99" s="73" t="str">
        <x:v>GORGONWARS-PREMISE-1.0</x:v>
      </x:c>
      <x:c r="AR99" s="73" t="str"/>
      <x:c r="AS99" s="82" t="str">
        <x:f>IF(A99="","",IF(OR(E99="NOT APPLICABLE",E99="PREMISES UNRESOLVED"),"N/A",IF(OR(AND(F99&lt;&gt;"NO EVIDENCE",F99&lt;&gt;"NOT APPLICABLE",OR(AG99="",AH99="",AI99="",AJ99="",AG99="SYSTEM INFERENCE",AG99="ABSTRACT ONLY",AG99="SECONDARY REPORT",AG99="UNVERIFIED",AI99="Exact locator needed",AI99="HAU forum framing; exact target locator needed",AI99="Forum exchange; exact locator needed")),AND(G99&lt;&gt;"NO EVIDENCE",G99&lt;&gt;"NOT APPLICABLE",OR(AK99="",AL99="",AM99="",AN99="",AK99="SYSTEM INFERENCE",AK99="ABSTRACT ONLY",AK99="SECONDARY REPORT",AK99="UNVERIFIED",AM99="Exact locator needed",AM99="HAU forum framing; exact target locator needed",AM99="Forum exchange; exact locator needed"))),"EVIDENCE DEBT","READY")))</x:f>
        <x:v>READY</x:v>
      </x:c>
      <x:c r="AT99" s="74" t="str">
        <x:v>Added in legal, privacy, due-process, and public-shaming expansion.</x:v>
      </x:c>
    </x:row>
    <x:row r="100" ht="50" customHeight="1">
      <x:c r="A100" s="86" t="n">
        <x:v>95</x:v>
      </x:c>
      <x:c r="B100" s="76" t="str">
        <x:v>Provisional</x:v>
      </x:c>
      <x:c r="C100" s="90" t="n">
        <x:v>4</x:v>
      </x:c>
      <x:c r="D100" s="82" t="str">
        <x:f>IF(C100="","",IFERROR(VLOOKUP(C100,'Database controls'!$A$5:$B$20,2,FALSE),"NEW / UNCATEGORIZED"))</x:f>
        <x:v>Testimony, belief, and epistemic authority</x:v>
      </x:c>
      <x:c r="E100" s="76" t="str">
        <x:v>OUTSIDE / EXCOMMUNICABLE</x:v>
      </x:c>
      <x:c r="F100" s="76" t="str">
        <x:v>NO EVIDENCE</x:v>
      </x:c>
      <x:c r="G100" s="76" t="str">
        <x:v>REJECTS</x:v>
      </x:c>
      <x:c r="H100" s="82" t="str">
        <x:f>IF(A100="","",IF(OR(F100="REJECTS",G100="REJECTS"),"OUTSIDE / EXCOMMUNICABLE",IF(AND(OR(F100="RETAINS",F100="RETAINS WITH QUALIFICATION"),OR(G100="RETAINS",G100="RETAINS WITH QUALIFICATION")),"INTERNAL GORGONWARS",IF(AND(F100="NOT APPLICABLE",G100="NOT APPLICABLE"),"NOT APPLICABLE","PREMISES UNRESOLVED"))))</x:f>
        <x:v>OUTSIDE / EXCOMMUNICABLE</x:v>
      </x:c>
      <x:c r="I100" s="82" t="str">
        <x:f>IF(A100="","",IF(E100=H100,"OK",IF(AO100&lt;&gt;"","OVERRIDDEN","REVIEW")))</x:f>
        <x:v>OK</x:v>
      </x:c>
      <x:c r="J100" s="76" t="str">
        <x:v>Forensic-method review of confirmation bias in adult sexual-assault interviews</x:v>
      </x:c>
      <x:c r="K100" s="76" t="str">
        <x:v>Movement-adjacent</x:v>
      </x:c>
      <x:c r="L100" s="76" t="str">
        <x:v>Peer-reviewed journal article</x:v>
      </x:c>
      <x:c r="M100" s="76" t="str">
        <x:v>Peer-reviewed</x:v>
      </x:c>
      <x:c r="N100" s="90" t="n">
        <x:v>2023</x:v>
      </x:c>
      <x:c r="O100" s="76" t="str">
        <x:v>Brandon T. Hunley and William O’Donohue</x:v>
      </x:c>
      <x:c r="P100" s="76" t="str">
        <x:v>The Psychometric Adequacy of Adult Forensic Interview Protocols for Sexual Assault: a Literature Review</x:v>
      </x:c>
      <x:c r="Q100" s="76" t="str">
        <x:v>Journal of Police and Criminal Psychology 38:38–54</x:v>
      </x:c>
      <x:c r="R100" s="76" t="str">
        <x:v>English</x:v>
      </x:c>
      <x:c r="S100" s="76" t="str">
        <x:v>Sexual-assault interviews can be humane without embedding confirmation bias or unvalidated neuroscience in place of reliable testing and alternative explanations.</x:v>
      </x:c>
      <x:c r="T100" s="76" t="str">
        <x:v>Reviews interview protocols, not survivor testimony or #MeToo as a movement.</x:v>
      </x:c>
      <x:c r="U100" s="76" t="str">
        <x:v>Abstract only</x:v>
      </x:c>
      <x:c r="V100" s="76" t="str">
        <x:v>https://link.springer.com/article/10.1007/s11896-022-09558-y</x:v>
      </x:c>
      <x:c r="W100" s="76" t="str">
        <x:v>10.1007/s11896-022-09558-y</x:v>
      </x:c>
      <x:c r="X100" s="94" t="n">
        <x:v>46230</x:v>
      </x:c>
      <x:c r="Y100" s="94" t="n">
        <x:v>46230</x:v>
      </x:c>
      <x:c r="Z100" s="76" t="str"/>
      <x:c r="AA100" s="76" t="str"/>
      <x:c r="AB100" s="76" t="n">
        <x:v>95</x:v>
      </x:c>
      <x:c r="AC100" s="76" t="str">
        <x:v>ADJACENT CONTEXT</x:v>
      </x:c>
      <x:c r="AD100" s="76" t="str">
        <x:v>MECHANISM / ADJACENT</x:v>
      </x:c>
      <x:c r="AE100" s="76" t="str">
        <x:v>ADJACENT</x:v>
      </x:c>
      <x:c r="AF100" s="76" t="str">
        <x:v>Unvalidated sexual-assault interview protocols and confirmation bias</x:v>
      </x:c>
      <x:c r="AG100" s="76" t="str">
        <x:v>NO EVIDENCE</x:v>
      </x:c>
      <x:c r="AH100" s="76" t="str"/>
      <x:c r="AI100" s="76" t="str"/>
      <x:c r="AJ100" s="76" t="str">
        <x:v>https://link.springer.com/article/10.1007/s11896-022-09558-y</x:v>
      </x:c>
      <x:c r="AK100" s="76" t="str">
        <x:v>ABSTRACT ONLY</x:v>
      </x:c>
      <x:c r="AL100" s="76" t="str">
        <x:v>Quote: six protocols had “very limited psychometric data” and “possible confirmation biases.”</x:v>
      </x:c>
      <x:c r="AM100" s="76" t="str">
        <x:v>Abstract</x:v>
      </x:c>
      <x:c r="AN100" s="76" t="str">
        <x:v>https://link.springer.com/article/10.1007/s11896-022-09558-y</x:v>
      </x:c>
      <x:c r="AO100" s="76" t="str"/>
      <x:c r="AP100" s="76" t="str">
        <x:v>Legal/privacy expansion research pass</x:v>
      </x:c>
      <x:c r="AQ100" s="76" t="str">
        <x:v>GORGONWARS-PREMISE-1.0</x:v>
      </x:c>
      <x:c r="AR100" s="76" t="str"/>
      <x:c r="AS100" s="82" t="str">
        <x:f>IF(A100="","",IF(OR(E100="NOT APPLICABLE",E100="PREMISES UNRESOLVED"),"N/A",IF(OR(AND(F100&lt;&gt;"NO EVIDENCE",F100&lt;&gt;"NOT APPLICABLE",OR(AG100="",AH100="",AI100="",AJ100="",AG100="SYSTEM INFERENCE",AG100="ABSTRACT ONLY",AG100="SECONDARY REPORT",AG100="UNVERIFIED",AI100="Exact locator needed",AI100="HAU forum framing; exact target locator needed",AI100="Forum exchange; exact locator needed")),AND(G100&lt;&gt;"NO EVIDENCE",G100&lt;&gt;"NOT APPLICABLE",OR(AK100="",AL100="",AM100="",AN100="",AK100="SYSTEM INFERENCE",AK100="ABSTRACT ONLY",AK100="SECONDARY REPORT",AK100="UNVERIFIED",AM100="Exact locator needed",AM100="HAU forum framing; exact target locator needed",AM100="Forum exchange; exact locator needed"))),"EVIDENCE DEBT","READY")))</x:f>
        <x:v>EVIDENCE DEBT</x:v>
      </x:c>
      <x:c r="AT100" s="77" t="str">
        <x:v>Added in legal, privacy, due-process, and public-shaming expansion.</x:v>
      </x:c>
    </x:row>
    <x:row r="101" ht="50" customHeight="1">
      <x:c r="A101" s="85" t="n">
        <x:v>96</x:v>
      </x:c>
      <x:c r="B101" s="73" t="str">
        <x:v>Provisional</x:v>
      </x:c>
      <x:c r="C101" s="89" t="n">
        <x:v>4</x:v>
      </x:c>
      <x:c r="D101" s="82" t="str">
        <x:f>IF(C101="","",IFERROR(VLOOKUP(C101,'Database controls'!$A$5:$B$20,2,FALSE),"NEW / UNCATEGORIZED"))</x:f>
        <x:v>Testimony, belief, and epistemic authority</x:v>
      </x:c>
      <x:c r="E101" s="73" t="str">
        <x:v>OUTSIDE / EXCOMMUNICABLE</x:v>
      </x:c>
      <x:c r="F101" s="73" t="str">
        <x:v>NO EVIDENCE</x:v>
      </x:c>
      <x:c r="G101" s="73" t="str">
        <x:v>REJECTS</x:v>
      </x:c>
      <x:c r="H101" s="82" t="str">
        <x:f>IF(A101="","",IF(OR(F101="REJECTS",G101="REJECTS"),"OUTSIDE / EXCOMMUNICABLE",IF(AND(OR(F101="RETAINS",F101="RETAINS WITH QUALIFICATION"),OR(G101="RETAINS",G101="RETAINS WITH QUALIFICATION")),"INTERNAL GORGONWARS",IF(AND(F101="NOT APPLICABLE",G101="NOT APPLICABLE"),"NOT APPLICABLE","PREMISES UNRESOLVED"))))</x:f>
        <x:v>OUTSIDE / EXCOMMUNICABLE</x:v>
      </x:c>
      <x:c r="I101" s="82" t="str">
        <x:f>IF(A101="","",IF(E101=H101,"OK",IF(AO101&lt;&gt;"","OVERRIDDEN","REVIEW")))</x:f>
        <x:v>OK</x:v>
      </x:c>
      <x:c r="J101" s="73" t="str">
        <x:v>Evidence-based interviewing critique of Title IX investigative training</x:v>
      </x:c>
      <x:c r="K101" s="73" t="str">
        <x:v>Movement-adjacent</x:v>
      </x:c>
      <x:c r="L101" s="73" t="str">
        <x:v>Peer-reviewed journal article</x:v>
      </x:c>
      <x:c r="M101" s="73" t="str">
        <x:v>Peer-reviewed</x:v>
      </x:c>
      <x:c r="N101" s="89" t="n">
        <x:v>2019</x:v>
      </x:c>
      <x:c r="O101" s="73" t="str">
        <x:v>Christian A. Meissner and Adrienne M. Lyles</x:v>
      </x:c>
      <x:c r="P101" s="73" t="str">
        <x:v>Title IX Investigations: The Importance of Training Investigators in Evidence-Based Approaches to Interviewing</x:v>
      </x:c>
      <x:c r="Q101" s="73" t="str">
        <x:v>Journal of Applied Research in Memory and Cognition 8(4):387–397</x:v>
      </x:c>
      <x:c r="R101" s="73" t="str">
        <x:v>English</x:v>
      </x:c>
      <x:c r="S101" s="73" t="str">
        <x:v>Investigators can treat complainants empathetically while using scientifically grounded memory retrieval and balanced credibility testing for every party.</x:v>
      </x:c>
      <x:c r="T101" s="73" t="str">
        <x:v>Specific to investigative interviewing; not a rejection of trauma-informed care in support or therapy.</x:v>
      </x:c>
      <x:c r="U101" s="73" t="str">
        <x:v>Abstract only</x:v>
      </x:c>
      <x:c r="V101" s="73" t="str">
        <x:v>https://www.sciencedirect.com/science/article/abs/pii/S2211368119300804</x:v>
      </x:c>
      <x:c r="W101" s="73" t="str">
        <x:v>10.1016/j.jarmac.2019.07.001</x:v>
      </x:c>
      <x:c r="X101" s="93" t="n">
        <x:v>46230</x:v>
      </x:c>
      <x:c r="Y101" s="93" t="n">
        <x:v>46230</x:v>
      </x:c>
      <x:c r="Z101" s="73" t="str"/>
      <x:c r="AA101" s="73" t="str"/>
      <x:c r="AB101" s="73" t="n">
        <x:v>96</x:v>
      </x:c>
      <x:c r="AC101" s="73" t="str">
        <x:v>ADJACENT CONTEXT</x:v>
      </x:c>
      <x:c r="AD101" s="73" t="str">
        <x:v>EXPLICIT CRITIQUE</x:v>
      </x:c>
      <x:c r="AE101" s="73" t="str">
        <x:v>ADJACENT</x:v>
      </x:c>
      <x:c r="AF101" s="73" t="str">
        <x:v>Trauma/status credibility shortcuts in Title IX interviews</x:v>
      </x:c>
      <x:c r="AG101" s="73" t="str">
        <x:v>NO EVIDENCE</x:v>
      </x:c>
      <x:c r="AH101" s="73" t="str"/>
      <x:c r="AI101" s="73" t="str"/>
      <x:c r="AJ101" s="73" t="str">
        <x:v>https://www.sciencedirect.com/science/article/abs/pii/S2211368119300804</x:v>
      </x:c>
      <x:c r="AK101" s="73" t="str">
        <x:v>ABSTRACT ONLY</x:v>
      </x:c>
      <x:c r="AL101" s="73" t="str">
        <x:v>Paraphrase: Current training includes practices at odds with available science and lacks effective credibility-assessment methods.</x:v>
      </x:c>
      <x:c r="AM101" s="73" t="str">
        <x:v>Abstract; section “Recommendations for Title IX Investigative Interviewing”</x:v>
      </x:c>
      <x:c r="AN101" s="73" t="str">
        <x:v>https://www.sciencedirect.com/science/article/abs/pii/S2211368119300804</x:v>
      </x:c>
      <x:c r="AO101" s="73" t="str"/>
      <x:c r="AP101" s="73" t="str">
        <x:v>Legal/privacy expansion research pass</x:v>
      </x:c>
      <x:c r="AQ101" s="73" t="str">
        <x:v>GORGONWARS-PREMISE-1.0</x:v>
      </x:c>
      <x:c r="AR101" s="73" t="str"/>
      <x:c r="AS101" s="82" t="str">
        <x:f>IF(A101="","",IF(OR(E101="NOT APPLICABLE",E101="PREMISES UNRESOLVED"),"N/A",IF(OR(AND(F101&lt;&gt;"NO EVIDENCE",F101&lt;&gt;"NOT APPLICABLE",OR(AG101="",AH101="",AI101="",AJ101="",AG101="SYSTEM INFERENCE",AG101="ABSTRACT ONLY",AG101="SECONDARY REPORT",AG101="UNVERIFIED",AI101="Exact locator needed",AI101="HAU forum framing; exact target locator needed",AI101="Forum exchange; exact locator needed")),AND(G101&lt;&gt;"NO EVIDENCE",G101&lt;&gt;"NOT APPLICABLE",OR(AK101="",AL101="",AM101="",AN101="",AK101="SYSTEM INFERENCE",AK101="ABSTRACT ONLY",AK101="SECONDARY REPORT",AK101="UNVERIFIED",AM101="Exact locator needed",AM101="HAU forum framing; exact target locator needed",AM101="Forum exchange; exact locator needed"))),"EVIDENCE DEBT","READY")))</x:f>
        <x:v>EVIDENCE DEBT</x:v>
      </x:c>
      <x:c r="AT101" s="74" t="str">
        <x:v>Added in legal, privacy, due-process, and public-shaming expansion.</x:v>
      </x:c>
    </x:row>
    <x:row r="102" ht="50" customHeight="1">
      <x:c r="A102" s="86" t="n">
        <x:v>97</x:v>
      </x:c>
      <x:c r="B102" s="76" t="str">
        <x:v>Provisional</x:v>
      </x:c>
      <x:c r="C102" s="90" t="n">
        <x:v>4</x:v>
      </x:c>
      <x:c r="D102" s="82" t="str">
        <x:f>IF(C102="","",IFERROR(VLOOKUP(C102,'Database controls'!$A$5:$B$20,2,FALSE),"NEW / UNCATEGORIZED"))</x:f>
        <x:v>Testimony, belief, and epistemic authority</x:v>
      </x:c>
      <x:c r="E102" s="76" t="str">
        <x:v>OUTSIDE / EXCOMMUNICABLE</x:v>
      </x:c>
      <x:c r="F102" s="76" t="str">
        <x:v>NO EVIDENCE</x:v>
      </x:c>
      <x:c r="G102" s="76" t="str">
        <x:v>REJECTS</x:v>
      </x:c>
      <x:c r="H102" s="82" t="str">
        <x:f>IF(A102="","",IF(OR(F102="REJECTS",G102="REJECTS"),"OUTSIDE / EXCOMMUNICABLE",IF(AND(OR(F102="RETAINS",F102="RETAINS WITH QUALIFICATION"),OR(G102="RETAINS",G102="RETAINS WITH QUALIFICATION")),"INTERNAL GORGONWARS",IF(AND(F102="NOT APPLICABLE",G102="NOT APPLICABLE"),"NOT APPLICABLE","PREMISES UNRESOLVED"))))</x:f>
        <x:v>OUTSIDE / EXCOMMUNICABLE</x:v>
      </x:c>
      <x:c r="I102" s="82" t="str">
        <x:f>IF(A102="","",IF(E102=H102,"OK",IF(AO102&lt;&gt;"","OVERRIDDEN","REVIEW")))</x:f>
        <x:v>OK</x:v>
      </x:c>
      <x:c r="J102" s="76" t="str">
        <x:v>Direct methodological critique of victim-empathy assumptions in rape-myth research</x:v>
      </x:c>
      <x:c r="K102" s="76" t="str">
        <x:v>Direct #MeToo critique</x:v>
      </x:c>
      <x:c r="L102" s="76" t="str">
        <x:v>Peer-reviewed journal article</x:v>
      </x:c>
      <x:c r="M102" s="76" t="str">
        <x:v>Peer-reviewed</x:v>
      </x:c>
      <x:c r="N102" s="90" t="n">
        <x:v>2024</x:v>
      </x:c>
      <x:c r="O102" s="76" t="str">
        <x:v>Stuart Waiton</x:v>
      </x:c>
      <x:c r="P102" s="76" t="str">
        <x:v>What do we know about ‘rape myth’ research and the claim that there is ‘overwhelming evidence’ that juries are prejudiced in rape trials?</x:v>
      </x:c>
      <x:c r="Q102" s="76" t="str">
        <x:v>International Journal of Evidence &amp; Proof 28(2)</x:v>
      </x:c>
      <x:c r="R102" s="76" t="str">
        <x:v>English</x:v>
      </x:c>
      <x:c r="S102" s="76" t="str">
        <x:v>Research designed to expose anti-victim bias can encode pro-complainant answers and hide wrongful-conviction risk, so sweeping claims require representative evidence.</x:v>
      </x:c>
      <x:c r="T102" s="76" t="str">
        <x:v>Disputes methods and policy inferences; does not deny that genuine rape myths exist.</x:v>
      </x:c>
      <x:c r="U102" s="76" t="str">
        <x:v>Partial / target-text gap</x:v>
      </x:c>
      <x:c r="V102" s="76" t="str">
        <x:v>https://journals.sagepub.com/doi/10.1177/13657127231217510</x:v>
      </x:c>
      <x:c r="W102" s="76" t="str">
        <x:v>10.1177/13657127231217510</x:v>
      </x:c>
      <x:c r="X102" s="94" t="n">
        <x:v>46230</x:v>
      </x:c>
      <x:c r="Y102" s="94" t="n">
        <x:v>46230</x:v>
      </x:c>
      <x:c r="Z102" s="76" t="str"/>
      <x:c r="AA102" s="76" t="str"/>
      <x:c r="AB102" s="76" t="n">
        <x:v>97</x:v>
      </x:c>
      <x:c r="AC102" s="76" t="str">
        <x:v>DIRECT OUTSIDE CRITIQUE</x:v>
      </x:c>
      <x:c r="AD102" s="76" t="str">
        <x:v>EXPLICIT CRITIQUE</x:v>
      </x:c>
      <x:c r="AE102" s="76" t="str">
        <x:v>YES</x:v>
      </x:c>
      <x:c r="AF102" s="76" t="str">
        <x:v>Victim-empathic moral coding in rape-myth research and institutional belief culture</x:v>
      </x:c>
      <x:c r="AG102" s="76" t="str">
        <x:v>NO EVIDENCE</x:v>
      </x:c>
      <x:c r="AH102" s="76" t="str"/>
      <x:c r="AI102" s="76" t="str"/>
      <x:c r="AJ102" s="76" t="str">
        <x:v>https://journals.sagepub.com/doi/10.1177/13657127231217510</x:v>
      </x:c>
      <x:c r="AK102" s="76" t="str">
        <x:v>DIRECT EXPLICIT</x:v>
      </x:c>
      <x:c r="AL102" s="76" t="str">
        <x:v>Quote: victim-empathic participants may find guilt “despite the lack of evidence.”</x:v>
      </x:c>
      <x:c r="AM102" s="76" t="str">
        <x:v>Abstract and full-text discussion of “believe the victim” and #MeToo</x:v>
      </x:c>
      <x:c r="AN102" s="76" t="str">
        <x:v>https://journals.sagepub.com/doi/10.1177/13657127231217510</x:v>
      </x:c>
      <x:c r="AO102" s="76" t="str"/>
      <x:c r="AP102" s="76" t="str">
        <x:v>Legal/privacy expansion research pass</x:v>
      </x:c>
      <x:c r="AQ102" s="76" t="str">
        <x:v>GORGONWARS-PREMISE-1.0</x:v>
      </x:c>
      <x:c r="AR102" s="76" t="str"/>
      <x:c r="AS102" s="82" t="str">
        <x:f>IF(A102="","",IF(OR(E102="NOT APPLICABLE",E102="PREMISES UNRESOLVED"),"N/A",IF(OR(AND(F102&lt;&gt;"NO EVIDENCE",F102&lt;&gt;"NOT APPLICABLE",OR(AG102="",AH102="",AI102="",AJ102="",AG102="SYSTEM INFERENCE",AG102="ABSTRACT ONLY",AG102="SECONDARY REPORT",AG102="UNVERIFIED",AI102="Exact locator needed",AI102="HAU forum framing; exact target locator needed",AI102="Forum exchange; exact locator needed")),AND(G102&lt;&gt;"NO EVIDENCE",G102&lt;&gt;"NOT APPLICABLE",OR(AK102="",AL102="",AM102="",AN102="",AK102="SYSTEM INFERENCE",AK102="ABSTRACT ONLY",AK102="SECONDARY REPORT",AK102="UNVERIFIED",AM102="Exact locator needed",AM102="HAU forum framing; exact target locator needed",AM102="Forum exchange; exact locator needed"))),"EVIDENCE DEBT","READY")))</x:f>
        <x:v>READY</x:v>
      </x:c>
      <x:c r="AT102" s="77" t="str">
        <x:v>Added in legal, privacy, due-process, and public-shaming expansion.</x:v>
      </x:c>
    </x:row>
    <x:row r="103" ht="50" customHeight="1">
      <x:c r="A103" s="85" t="n">
        <x:v>98</x:v>
      </x:c>
      <x:c r="B103" s="73" t="str">
        <x:v>Active</x:v>
      </x:c>
      <x:c r="C103" s="89" t="n">
        <x:v>6</x:v>
      </x:c>
      <x:c r="D103" s="82" t="str">
        <x:f>IF(C103="","",IFERROR(VLOOKUP(C103,'Database controls'!$A$5:$B$20,2,FALSE),"NEW / UNCATEGORIZED"))</x:f>
        <x:v>Due process, punishment, and procedural limits</x:v>
      </x:c>
      <x:c r="E103" s="73" t="str">
        <x:v>OUTSIDE / EXCOMMUNICABLE</x:v>
      </x:c>
      <x:c r="F103" s="73" t="str">
        <x:v>REJECTS</x:v>
      </x:c>
      <x:c r="G103" s="73" t="str">
        <x:v>REJECTS</x:v>
      </x:c>
      <x:c r="H103" s="82" t="str">
        <x:f>IF(A103="","",IF(OR(F103="REJECTS",G103="REJECTS"),"OUTSIDE / EXCOMMUNICABLE",IF(AND(OR(F103="RETAINS",F103="RETAINS WITH QUALIFICATION"),OR(G103="RETAINS",G103="RETAINS WITH QUALIFICATION")),"INTERNAL GORGONWARS",IF(AND(F103="NOT APPLICABLE",G103="NOT APPLICABLE"),"NOT APPLICABLE","PREMISES UNRESOLVED"))))</x:f>
        <x:v>OUTSIDE / EXCOMMUNICABLE</x:v>
      </x:c>
      <x:c r="I103" s="82" t="str">
        <x:f>IF(A103="","",IF(E103=H103,"OK",IF(AO103&lt;&gt;"","OVERRIDDEN","REVIEW")))</x:f>
        <x:v>OK</x:v>
      </x:c>
      <x:c r="J103" s="73" t="str">
        <x:v>Direct critique of #MeToo social media as individualized virtual trial</x:v>
      </x:c>
      <x:c r="K103" s="73" t="str">
        <x:v>Direct #MeToo critique</x:v>
      </x:c>
      <x:c r="L103" s="73" t="str">
        <x:v>Peer-reviewed journal article</x:v>
      </x:c>
      <x:c r="M103" s="73" t="str">
        <x:v>Peer-reviewed</x:v>
      </x:c>
      <x:c r="N103" s="89" t="n">
        <x:v>2021</x:v>
      </x:c>
      <x:c r="O103" s="73" t="str">
        <x:v>Marcel Danesi, Laura Ervo, Lukas Kindberg, and Kerstin Nordlöf</x:v>
      </x:c>
      <x:c r="P103" s="73" t="str">
        <x:v>The #MeToo Movement as an e-Discourse: Social and Legal Effects</x:v>
      </x:c>
      <x:c r="Q103" s="73" t="str">
        <x:v>HumaNetten 46:56–74</x:v>
      </x:c>
      <x:c r="R103" s="73" t="str">
        <x:v>English</x:v>
      </x:c>
      <x:c r="S103" s="73" t="str">
        <x:v>#MeToo can expose structural injustice, but its social-media court can replace evidence, reply rights, proportionality, privacy, and adjudication with irreversible shame.</x:v>
      </x:c>
      <x:c r="T103" s="73" t="str">
        <x:v>Retains collective and structural discourse while rejecting the individualized scandal/tribunal form, not all public disclosure.</x:v>
      </x:c>
      <x:c r="U103" s="73" t="str">
        <x:v>Full text verified</x:v>
      </x:c>
      <x:c r="V103" s="73" t="str">
        <x:v>https://open.lnu.se/index.php/hn/en/article/view/2881</x:v>
      </x:c>
      <x:c r="W103" s="73" t="str">
        <x:v>10.15626/hn.20214604</x:v>
      </x:c>
      <x:c r="X103" s="93" t="n">
        <x:v>46230</x:v>
      </x:c>
      <x:c r="Y103" s="93" t="n">
        <x:v>46230</x:v>
      </x:c>
      <x:c r="Z103" s="73" t="str"/>
      <x:c r="AA103" s="73" t="str"/>
      <x:c r="AB103" s="73" t="n">
        <x:v>98</x:v>
      </x:c>
      <x:c r="AC103" s="73" t="str">
        <x:v>DIRECT OUTSIDE CRITIQUE</x:v>
      </x:c>
      <x:c r="AD103" s="73" t="str">
        <x:v>MIXED / QUALIFIED CRITIQUE</x:v>
      </x:c>
      <x:c r="AE103" s="73" t="str">
        <x:v>YES</x:v>
      </x:c>
      <x:c r="AF103" s="73" t="str">
        <x:v>Virtual trials, shame, and collective credibility replacing legal procedures</x:v>
      </x:c>
      <x:c r="AG103" s="73" t="str">
        <x:v>DIRECT EXPLICIT</x:v>
      </x:c>
      <x:c r="AH103" s="73" t="str">
        <x:v>Quote: “The end result of virtual trials is shaming, rather than genuine legal procedures.”</x:v>
      </x:c>
      <x:c r="AI103" s="73" t="str">
        <x:v>pp. 58 and 62–63; conclusion p. 71</x:v>
      </x:c>
      <x:c r="AJ103" s="73" t="str">
        <x:v>https://open.lnu.se/index.php/hn/en/article/view/2881</x:v>
      </x:c>
      <x:c r="AK103" s="73" t="str">
        <x:v>DIRECT ENTAILMENT</x:v>
      </x:c>
      <x:c r="AL103" s="73" t="str">
        <x:v>Paraphrase: Collective online accusation cannot substitute for individualized evidence and reply rights.</x:v>
      </x:c>
      <x:c r="AM103" s="73" t="str">
        <x:v>pp. 58 and 62–63; conclusion p. 71</x:v>
      </x:c>
      <x:c r="AN103" s="73" t="str">
        <x:v>https://open.lnu.se/index.php/hn/en/article/view/2881</x:v>
      </x:c>
      <x:c r="AO103" s="73" t="str"/>
      <x:c r="AP103" s="73" t="str">
        <x:v>Legal/privacy expansion research pass</x:v>
      </x:c>
      <x:c r="AQ103" s="73" t="str">
        <x:v>GORGONWARS-PREMISE-1.0</x:v>
      </x:c>
      <x:c r="AR103" s="73" t="str"/>
      <x:c r="AS103" s="82" t="str">
        <x:f>IF(A103="","",IF(OR(E103="NOT APPLICABLE",E103="PREMISES UNRESOLVED"),"N/A",IF(OR(AND(F103&lt;&gt;"NO EVIDENCE",F103&lt;&gt;"NOT APPLICABLE",OR(AG103="",AH103="",AI103="",AJ103="",AG103="SYSTEM INFERENCE",AG103="ABSTRACT ONLY",AG103="SECONDARY REPORT",AG103="UNVERIFIED",AI103="Exact locator needed",AI103="HAU forum framing; exact target locator needed",AI103="Forum exchange; exact locator needed")),AND(G103&lt;&gt;"NO EVIDENCE",G103&lt;&gt;"NOT APPLICABLE",OR(AK103="",AL103="",AM103="",AN103="",AK103="SYSTEM INFERENCE",AK103="ABSTRACT ONLY",AK103="SECONDARY REPORT",AK103="UNVERIFIED",AM103="Exact locator needed",AM103="HAU forum framing; exact target locator needed",AM103="Forum exchange; exact locator needed"))),"EVIDENCE DEBT","READY")))</x:f>
        <x:v>READY</x:v>
      </x:c>
      <x:c r="AT103" s="74" t="str">
        <x:v>Added in legal, privacy, due-process, and public-shaming expansion.</x:v>
      </x:c>
    </x:row>
    <x:row r="104" ht="50" customHeight="1">
      <x:c r="A104" s="86" t="n">
        <x:v>99</x:v>
      </x:c>
      <x:c r="B104" s="76" t="str">
        <x:v>Active</x:v>
      </x:c>
      <x:c r="C104" s="90" t="n">
        <x:v>6</x:v>
      </x:c>
      <x:c r="D104" s="82" t="str">
        <x:f>IF(C104="","",IFERROR(VLOOKUP(C104,'Database controls'!$A$5:$B$20,2,FALSE),"NEW / UNCATEGORIZED"))</x:f>
        <x:v>Due process, punishment, and procedural limits</x:v>
      </x:c>
      <x:c r="E104" s="76" t="str">
        <x:v>OUTSIDE / EXCOMMUNICABLE</x:v>
      </x:c>
      <x:c r="F104" s="76" t="str">
        <x:v>REJECTS</x:v>
      </x:c>
      <x:c r="G104" s="76" t="str">
        <x:v>REJECTS</x:v>
      </x:c>
      <x:c r="H104" s="82" t="str">
        <x:f>IF(A104="","",IF(OR(F104="REJECTS",G104="REJECTS"),"OUTSIDE / EXCOMMUNICABLE",IF(AND(OR(F104="RETAINS",F104="RETAINS WITH QUALIFICATION"),OR(G104="RETAINS",G104="RETAINS WITH QUALIFICATION")),"INTERNAL GORGONWARS",IF(AND(F104="NOT APPLICABLE",G104="NOT APPLICABLE"),"NOT APPLICABLE","PREMISES UNRESOLVED"))))</x:f>
        <x:v>OUTSIDE / EXCOMMUNICABLE</x:v>
      </x:c>
      <x:c r="I104" s="82" t="str">
        <x:f>IF(A104="","",IF(E104=H104,"OK",IF(AO104&lt;&gt;"","OVERRIDDEN","REVIEW")))</x:f>
        <x:v>OK</x:v>
      </x:c>
      <x:c r="J104" s="76" t="str">
        <x:v>Direct feminist critique of victim-role authority and decentralized public punishment</x:v>
      </x:c>
      <x:c r="K104" s="76" t="str">
        <x:v>Direct #MeToo critique</x:v>
      </x:c>
      <x:c r="L104" s="76" t="str">
        <x:v>Peer-reviewed journal article</x:v>
      </x:c>
      <x:c r="M104" s="76" t="str">
        <x:v>Peer-reviewed</x:v>
      </x:c>
      <x:c r="N104" s="90" t="n">
        <x:v>2023</x:v>
      </x:c>
      <x:c r="O104" s="76" t="str">
        <x:v>Blanca Larrain</x:v>
      </x:c>
      <x:c r="P104" s="76" t="str">
        <x:v>online public shaming as a feminist practice for social change, a double-edged sword for fighting gender violence: the case of the ‘feminist funa’ in Chile</x:v>
      </x:c>
      <x:c r="Q104" s="76" t="str">
        <x:v>Feminist Review 135(1)</x:v>
      </x:c>
      <x:c r="R104" s="76" t="str">
        <x:v>English</x:v>
      </x:c>
      <x:c r="S104" s="76" t="str">
        <x:v>Public naming can reveal gender violence, but decentralized feminist punishment can become proof-light, uncontrollable, disproportionate, privacy-invasive, and structurally ineffective.</x:v>
      </x:c>
      <x:c r="T104" s="76" t="str">
        <x:v>An immanent feminist critique that retains testimony, visibility, and structural feminism while rejecting tribunal and victim-status authority.</x:v>
      </x:c>
      <x:c r="U104" s="76" t="str">
        <x:v>Full text verified</x:v>
      </x:c>
      <x:c r="V104" s="76" t="str">
        <x:v>https://journals.sagepub.com/doi/10.1177/01417789231200487</x:v>
      </x:c>
      <x:c r="W104" s="76" t="str">
        <x:v>10.1177/01417789231200487</x:v>
      </x:c>
      <x:c r="X104" s="94" t="n">
        <x:v>46230</x:v>
      </x:c>
      <x:c r="Y104" s="94" t="n">
        <x:v>46230</x:v>
      </x:c>
      <x:c r="Z104" s="76" t="str"/>
      <x:c r="AA104" s="76" t="str"/>
      <x:c r="AB104" s="76" t="n">
        <x:v>99</x:v>
      </x:c>
      <x:c r="AC104" s="76" t="str">
        <x:v>DIRECT OUTSIDE CRITIQUE</x:v>
      </x:c>
      <x:c r="AD104" s="76" t="str">
        <x:v>MIXED / QUALIFIED CRITIQUE</x:v>
      </x:c>
      <x:c r="AE104" s="76" t="str">
        <x:v>YES</x:v>
      </x:c>
      <x:c r="AF104" s="76" t="str">
        <x:v>Feminist funa as uncontrolled public punishment and victim-role moral authority</x:v>
      </x:c>
      <x:c r="AG104" s="76" t="str">
        <x:v>DIRECT EXPLICIT</x:v>
      </x:c>
      <x:c r="AH104" s="76" t="str">
        <x:v>Paraphrase: Decentralized online public shaming is difficult to control, usually disproportionate, and tends to violate privacy.</x:v>
      </x:c>
      <x:c r="AI104" s="76" t="str">
        <x:v>Section “Online public shaming: the moral dilemmas of an extended practice”</x:v>
      </x:c>
      <x:c r="AJ104" s="76" t="str">
        <x:v>https://journals.sagepub.com/doi/10.1177/01417789231200487</x:v>
      </x:c>
      <x:c r="AK104" s="76" t="str">
        <x:v>DIRECT EXPLICIT</x:v>
      </x:c>
      <x:c r="AL104" s="76" t="str">
        <x:v>Quote: the shamer can assume superiority “only for their role as the victim.”</x:v>
      </x:c>
      <x:c r="AM104" s="76" t="str">
        <x:v>Same section; discussion following the five-part justification framework</x:v>
      </x:c>
      <x:c r="AN104" s="76" t="str">
        <x:v>https://journals.sagepub.com/doi/10.1177/01417789231200487</x:v>
      </x:c>
      <x:c r="AO104" s="76" t="str"/>
      <x:c r="AP104" s="76" t="str">
        <x:v>Legal/privacy expansion research pass</x:v>
      </x:c>
      <x:c r="AQ104" s="76" t="str">
        <x:v>GORGONWARS-PREMISE-1.0</x:v>
      </x:c>
      <x:c r="AR104" s="76" t="str"/>
      <x:c r="AS104" s="82" t="str">
        <x:f>IF(A104="","",IF(OR(E104="NOT APPLICABLE",E104="PREMISES UNRESOLVED"),"N/A",IF(OR(AND(F104&lt;&gt;"NO EVIDENCE",F104&lt;&gt;"NOT APPLICABLE",OR(AG104="",AH104="",AI104="",AJ104="",AG104="SYSTEM INFERENCE",AG104="ABSTRACT ONLY",AG104="SECONDARY REPORT",AG104="UNVERIFIED",AI104="Exact locator needed",AI104="HAU forum framing; exact target locator needed",AI104="Forum exchange; exact locator needed")),AND(G104&lt;&gt;"NO EVIDENCE",G104&lt;&gt;"NOT APPLICABLE",OR(AK104="",AL104="",AM104="",AN104="",AK104="SYSTEM INFERENCE",AK104="ABSTRACT ONLY",AK104="SECONDARY REPORT",AK104="UNVERIFIED",AM104="Exact locator needed",AM104="HAU forum framing; exact target locator needed",AM104="Forum exchange; exact locator needed"))),"EVIDENCE DEBT","READY")))</x:f>
        <x:v>READY</x:v>
      </x:c>
      <x:c r="AT104" s="77" t="str">
        <x:v>Added in legal, privacy, due-process, and public-shaming expansion.</x:v>
      </x:c>
    </x:row>
    <x:row r="105" ht="50" customHeight="1">
      <x:c r="A105" s="85" t="n">
        <x:v>100</x:v>
      </x:c>
      <x:c r="B105" s="73" t="str">
        <x:v>Active</x:v>
      </x:c>
      <x:c r="C105" s="89" t="n">
        <x:v>6</x:v>
      </x:c>
      <x:c r="D105" s="82" t="str">
        <x:f>IF(C105="","",IFERROR(VLOOKUP(C105,'Database controls'!$A$5:$B$20,2,FALSE),"NEW / UNCATEGORIZED"))</x:f>
        <x:v>Due process, punishment, and procedural limits</x:v>
      </x:c>
      <x:c r="E105" s="73" t="str">
        <x:v>OUTSIDE / EXCOMMUNICABLE</x:v>
      </x:c>
      <x:c r="F105" s="73" t="str">
        <x:v>REJECTS</x:v>
      </x:c>
      <x:c r="G105" s="73" t="str">
        <x:v>NO EVIDENCE</x:v>
      </x:c>
      <x:c r="H105" s="82" t="str">
        <x:f>IF(A105="","",IF(OR(F105="REJECTS",G105="REJECTS"),"OUTSIDE / EXCOMMUNICABLE",IF(AND(OR(F105="RETAINS",F105="RETAINS WITH QUALIFICATION"),OR(G105="RETAINS",G105="RETAINS WITH QUALIFICATION")),"INTERNAL GORGONWARS",IF(AND(F105="NOT APPLICABLE",G105="NOT APPLICABLE"),"NOT APPLICABLE","PREMISES UNRESOLVED"))))</x:f>
        <x:v>OUTSIDE / EXCOMMUNICABLE</x:v>
      </x:c>
      <x:c r="I105" s="82" t="str">
        <x:f>IF(A105="","",IF(E105=H105,"OK",IF(AO105&lt;&gt;"","OVERRIDDEN","REVIEW")))</x:f>
        <x:v>OK</x:v>
      </x:c>
      <x:c r="J105" s="73" t="str">
        <x:v>Direct feminist dialogue rejecting trial-by-media as adjudication</x:v>
      </x:c>
      <x:c r="K105" s="73" t="str">
        <x:v>Direct #MeToo critique</x:v>
      </x:c>
      <x:c r="L105" s="73" t="str">
        <x:v>Academic forum / editorial</x:v>
      </x:c>
      <x:c r="M105" s="73" t="str">
        <x:v>Academic forum / editorial</x:v>
      </x:c>
      <x:c r="N105" s="89" t="n">
        <x:v>2018</x:v>
      </x:c>
      <x:c r="O105" s="73" t="str">
        <x:v>Dubravka Zarkov and Kathy Davis</x:v>
      </x:c>
      <x:c r="P105" s="73" t="str">
        <x:v>Ambiguities and dilemmas around #MeToo: #ForHow Long and #WhereTo?</x:v>
      </x:c>
      <x:c r="Q105" s="73" t="str">
        <x:v>European Journal of Women’s Studies 25(1):3–9</x:v>
      </x:c>
      <x:c r="R105" s="73" t="str">
        <x:v>English</x:v>
      </x:c>
      <x:c r="S105" s="73" t="str">
        <x:v>Sexual violence needs collective action, but public accusation should not make an unchosen audience judge guilt, flatten ambiguity, or substitute visible villains for structural change.</x:v>
      </x:c>
      <x:c r="T105" s="73" t="str">
        <x:v>A peer-reviewed editorial dialogue; the authors affirm #MeToo’s awareness value and reject its tribunal mechanism rather than the entire personal-to-political project.</x:v>
      </x:c>
      <x:c r="U105" s="73" t="str">
        <x:v>Full text verified</x:v>
      </x:c>
      <x:c r="V105" s="73" t="str">
        <x:v>https://journals.sagepub.com/doi/10.1177/1350506817749436</x:v>
      </x:c>
      <x:c r="W105" s="73" t="str">
        <x:v>10.1177/1350506817749436</x:v>
      </x:c>
      <x:c r="X105" s="93" t="n">
        <x:v>46230</x:v>
      </x:c>
      <x:c r="Y105" s="93" t="n">
        <x:v>46230</x:v>
      </x:c>
      <x:c r="Z105" s="73" t="str"/>
      <x:c r="AA105" s="73" t="str"/>
      <x:c r="AB105" s="73" t="n">
        <x:v>100</x:v>
      </x:c>
      <x:c r="AC105" s="73" t="str">
        <x:v>DIRECT OUTSIDE CRITIQUE</x:v>
      </x:c>
      <x:c r="AD105" s="73" t="str">
        <x:v>MIXED / QUALIFIED CRITIQUE</x:v>
      </x:c>
      <x:c r="AE105" s="73" t="str">
        <x:v>YES</x:v>
      </x:c>
      <x:c r="AF105" s="73" t="str">
        <x:v>Trial by media before accused people can defend themselves</x:v>
      </x:c>
      <x:c r="AG105" s="73" t="str">
        <x:v>DIRECT EXPLICIT</x:v>
      </x:c>
      <x:c r="AH105" s="73" t="str">
        <x:v>Quote: the movement created a “trial by media” before accused people had “a chance to defend themselves.”</x:v>
      </x:c>
      <x:c r="AI105" s="73" t="str">
        <x:v>pp. 5–7; discussion beginning “Today, we see the opposite”</x:v>
      </x:c>
      <x:c r="AJ105" s="73" t="str">
        <x:v>https://journals.sagepub.com/doi/10.1177/1350506817749436</x:v>
      </x:c>
      <x:c r="AK105" s="73" t="str">
        <x:v>NO EVIDENCE</x:v>
      </x:c>
      <x:c r="AL105" s="73" t="str"/>
      <x:c r="AM105" s="73" t="str"/>
      <x:c r="AN105" s="73" t="str"/>
      <x:c r="AO105" s="73" t="str"/>
      <x:c r="AP105" s="73" t="str">
        <x:v>Legal/privacy expansion research pass</x:v>
      </x:c>
      <x:c r="AQ105" s="73" t="str">
        <x:v>GORGONWARS-PREMISE-1.0</x:v>
      </x:c>
      <x:c r="AR105" s="73" t="str"/>
      <x:c r="AS105" s="82" t="str">
        <x:f>IF(A105="","",IF(OR(E105="NOT APPLICABLE",E105="PREMISES UNRESOLVED"),"N/A",IF(OR(AND(F105&lt;&gt;"NO EVIDENCE",F105&lt;&gt;"NOT APPLICABLE",OR(AG105="",AH105="",AI105="",AJ105="",AG105="SYSTEM INFERENCE",AG105="ABSTRACT ONLY",AG105="SECONDARY REPORT",AG105="UNVERIFIED",AI105="Exact locator needed",AI105="HAU forum framing; exact target locator needed",AI105="Forum exchange; exact locator needed")),AND(G105&lt;&gt;"NO EVIDENCE",G105&lt;&gt;"NOT APPLICABLE",OR(AK105="",AL105="",AM105="",AN105="",AK105="SYSTEM INFERENCE",AK105="ABSTRACT ONLY",AK105="SECONDARY REPORT",AK105="UNVERIFIED",AM105="Exact locator needed",AM105="HAU forum framing; exact target locator needed",AM105="Forum exchange; exact locator needed"))),"EVIDENCE DEBT","READY")))</x:f>
        <x:v>READY</x:v>
      </x:c>
      <x:c r="AT105" s="74" t="str">
        <x:v>Added in legal, privacy, due-process, and public-shaming expansion.</x:v>
      </x:c>
    </x:row>
    <x:row r="106" ht="50" customHeight="1">
      <x:c r="A106" s="86" t="n">
        <x:v>101</x:v>
      </x:c>
      <x:c r="B106" s="76" t="str">
        <x:v>Active</x:v>
      </x:c>
      <x:c r="C106" s="90" t="n">
        <x:v>6</x:v>
      </x:c>
      <x:c r="D106" s="82" t="str">
        <x:f>IF(C106="","",IFERROR(VLOOKUP(C106,'Database controls'!$A$5:$B$20,2,FALSE),"NEW / UNCATEGORIZED"))</x:f>
        <x:v>Due process, punishment, and procedural limits</x:v>
      </x:c>
      <x:c r="E106" s="76" t="str">
        <x:v>OUTSIDE / EXCOMMUNICABLE</x:v>
      </x:c>
      <x:c r="F106" s="76" t="str">
        <x:v>REJECTS</x:v>
      </x:c>
      <x:c r="G106" s="76" t="str">
        <x:v>NO EVIDENCE</x:v>
      </x:c>
      <x:c r="H106" s="82" t="str">
        <x:f>IF(A106="","",IF(OR(F106="REJECTS",G106="REJECTS"),"OUTSIDE / EXCOMMUNICABLE",IF(AND(OR(F106="RETAINS",F106="RETAINS WITH QUALIFICATION"),OR(G106="RETAINS",G106="RETAINS WITH QUALIFICATION")),"INTERNAL GORGONWARS",IF(AND(F106="NOT APPLICABLE",G106="NOT APPLICABLE"),"NOT APPLICABLE","PREMISES UNRESOLVED"))))</x:f>
        <x:v>OUTSIDE / EXCOMMUNICABLE</x:v>
      </x:c>
      <x:c r="I106" s="82" t="str">
        <x:f>IF(A106="","",IF(E106=H106,"OK",IF(AO106&lt;&gt;"","OVERRIDDEN","REVIEW")))</x:f>
        <x:v>OK</x:v>
      </x:c>
      <x:c r="J106" s="76" t="str">
        <x:v>General ethical mechanism critique of mass online public shaming</x:v>
      </x:c>
      <x:c r="K106" s="76" t="str">
        <x:v>Movement-adjacent</x:v>
      </x:c>
      <x:c r="L106" s="76" t="str">
        <x:v>Peer-reviewed journal article</x:v>
      </x:c>
      <x:c r="M106" s="76" t="str">
        <x:v>Peer-reviewed</x:v>
      </x:c>
      <x:c r="N106" s="90" t="n">
        <x:v>2021</x:v>
      </x:c>
      <x:c r="O106" s="76" t="str">
        <x:v>Guy Aitchison and Saladin Meckled-Garcia</x:v>
      </x:c>
      <x:c r="P106" s="76" t="str">
        <x:v>Against Online Public Shaming: Ethical Problems with Mass Social Media</x:v>
      </x:c>
      <x:c r="Q106" s="76" t="str">
        <x:v>Social Theory and Practice 47(1):1–31</x:v>
      </x:c>
      <x:c r="R106" s="76" t="str">
        <x:v>English</x:v>
      </x:c>
      <x:c r="S106" s="76" t="str">
        <x:v>Mass online shaming mobilizes unconstrained collective power to strip people of standing and relationships without due process, so it is presumptively wrongful.</x:v>
      </x:c>
      <x:c r="T106" s="76" t="str">
        <x:v>General public-shaming theory; the article explicitly treats many #MeToo warnings as fair warning rather than objectionable shaming.</x:v>
      </x:c>
      <x:c r="U106" s="76" t="str">
        <x:v>Full text verified</x:v>
      </x:c>
      <x:c r="V106" s="76" t="str">
        <x:v>https://discovery.ucl.ac.uk/id/eprint/10108618/</x:v>
      </x:c>
      <x:c r="W106" s="76" t="str">
        <x:v>10.5840/soctheorpract20201117109</x:v>
      </x:c>
      <x:c r="X106" s="94" t="n">
        <x:v>46230</x:v>
      </x:c>
      <x:c r="Y106" s="94" t="n">
        <x:v>46230</x:v>
      </x:c>
      <x:c r="Z106" s="76" t="str"/>
      <x:c r="AA106" s="76" t="str"/>
      <x:c r="AB106" s="76" t="n">
        <x:v>101</x:v>
      </x:c>
      <x:c r="AC106" s="76" t="str">
        <x:v>ADJACENT CONTEXT</x:v>
      </x:c>
      <x:c r="AD106" s="76" t="str">
        <x:v>MECHANISM / ADJACENT</x:v>
      </x:c>
      <x:c r="AE106" s="76" t="str">
        <x:v>ADJACENT</x:v>
      </x:c>
      <x:c r="AF106" s="76" t="str">
        <x:v>Mass online collective punishment and ostracism</x:v>
      </x:c>
      <x:c r="AG106" s="76" t="str">
        <x:v>DIRECT EXPLICIT</x:v>
      </x:c>
      <x:c r="AH106" s="76" t="str">
        <x:v>Quote: online public shaming is “an informal collective punishment that it is presumptively wrong to impose.”</x:v>
      </x:c>
      <x:c r="AI106" s="76" t="str">
        <x:v>Abstract and pp. 1–3</x:v>
      </x:c>
      <x:c r="AJ106" s="76" t="str">
        <x:v>https://discovery.ucl.ac.uk/id/eprint/10108618/</x:v>
      </x:c>
      <x:c r="AK106" s="76" t="str">
        <x:v>NO EVIDENCE</x:v>
      </x:c>
      <x:c r="AL106" s="76" t="str"/>
      <x:c r="AM106" s="76" t="str"/>
      <x:c r="AN106" s="76" t="str"/>
      <x:c r="AO106" s="76" t="str"/>
      <x:c r="AP106" s="76" t="str">
        <x:v>Legal/privacy expansion research pass</x:v>
      </x:c>
      <x:c r="AQ106" s="76" t="str">
        <x:v>GORGONWARS-PREMISE-1.0</x:v>
      </x:c>
      <x:c r="AR106" s="76" t="str"/>
      <x:c r="AS106" s="82" t="str">
        <x:f>IF(A106="","",IF(OR(E106="NOT APPLICABLE",E106="PREMISES UNRESOLVED"),"N/A",IF(OR(AND(F106&lt;&gt;"NO EVIDENCE",F106&lt;&gt;"NOT APPLICABLE",OR(AG106="",AH106="",AI106="",AJ106="",AG106="SYSTEM INFERENCE",AG106="ABSTRACT ONLY",AG106="SECONDARY REPORT",AG106="UNVERIFIED",AI106="Exact locator needed",AI106="HAU forum framing; exact target locator needed",AI106="Forum exchange; exact locator needed")),AND(G106&lt;&gt;"NO EVIDENCE",G106&lt;&gt;"NOT APPLICABLE",OR(AK106="",AL106="",AM106="",AN106="",AK106="SYSTEM INFERENCE",AK106="ABSTRACT ONLY",AK106="SECONDARY REPORT",AK106="UNVERIFIED",AM106="Exact locator needed",AM106="HAU forum framing; exact target locator needed",AM106="Forum exchange; exact locator needed"))),"EVIDENCE DEBT","READY")))</x:f>
        <x:v>READY</x:v>
      </x:c>
      <x:c r="AT106" s="77" t="str">
        <x:v>Added in legal, privacy, due-process, and public-shaming expansion.</x:v>
      </x:c>
    </x:row>
    <x:row r="107" ht="50" customHeight="1">
      <x:c r="A107" s="85" t="n">
        <x:v>102</x:v>
      </x:c>
      <x:c r="B107" s="73" t="str">
        <x:v>Active</x:v>
      </x:c>
      <x:c r="C107" s="89" t="n">
        <x:v>6</x:v>
      </x:c>
      <x:c r="D107" s="82" t="str">
        <x:f>IF(C107="","",IFERROR(VLOOKUP(C107,'Database controls'!$A$5:$B$20,2,FALSE),"NEW / UNCATEGORIZED"))</x:f>
        <x:v>Due process, punishment, and procedural limits</x:v>
      </x:c>
      <x:c r="E107" s="73" t="str">
        <x:v>OUTSIDE / EXCOMMUNICABLE</x:v>
      </x:c>
      <x:c r="F107" s="73" t="str">
        <x:v>REJECTS</x:v>
      </x:c>
      <x:c r="G107" s="73" t="str">
        <x:v>NO EVIDENCE</x:v>
      </x:c>
      <x:c r="H107" s="82" t="str">
        <x:f>IF(A107="","",IF(OR(F107="REJECTS",G107="REJECTS"),"OUTSIDE / EXCOMMUNICABLE",IF(AND(OR(F107="RETAINS",F107="RETAINS WITH QUALIFICATION"),OR(G107="RETAINS",G107="RETAINS WITH QUALIFICATION")),"INTERNAL GORGONWARS",IF(AND(F107="NOT APPLICABLE",G107="NOT APPLICABLE"),"NOT APPLICABLE","PREMISES UNRESOLVED"))))</x:f>
        <x:v>OUTSIDE / EXCOMMUNICABLE</x:v>
      </x:c>
      <x:c r="I107" s="82" t="str">
        <x:f>IF(A107="","",IF(E107=H107,"OK",IF(AO107&lt;&gt;"","OVERRIDDEN","REVIEW")))</x:f>
        <x:v>OK</x:v>
      </x:c>
      <x:c r="J107" s="73" t="str">
        <x:v>General proportionality and accountability limits on online public punishment</x:v>
      </x:c>
      <x:c r="K107" s="73" t="str">
        <x:v>Movement-adjacent</x:v>
      </x:c>
      <x:c r="L107" s="73" t="str">
        <x:v>Peer-reviewed journal article</x:v>
      </x:c>
      <x:c r="M107" s="73" t="str">
        <x:v>Peer-reviewed</x:v>
      </x:c>
      <x:c r="N107" s="89" t="n">
        <x:v>2020</x:v>
      </x:c>
      <x:c r="O107" s="73" t="str">
        <x:v>Paul Billingham and Tom Parr</x:v>
      </x:c>
      <x:c r="P107" s="73" t="str">
        <x:v>Online Public Shaming: Virtues and Vices</x:v>
      </x:c>
      <x:c r="Q107" s="73" t="str">
        <x:v>Journal of Social Philosophy 51(3):371–390</x:v>
      </x:c>
      <x:c r="R107" s="73" t="str">
        <x:v>English</x:v>
      </x:c>
      <x:c r="S107" s="73" t="str">
        <x:v>Online shaming may enforce valuable norms, but its scale and weak accountability make most actual cases disproportionate and unjustified.</x:v>
      </x:c>
      <x:c r="T107" s="73" t="str">
        <x:v>General public-shaming theory with no verified dedicated #MeToo analysis.</x:v>
      </x:c>
      <x:c r="U107" s="73" t="str">
        <x:v>Full text verified</x:v>
      </x:c>
      <x:c r="V107" s="73" t="str">
        <x:v>https://ora.ox.ac.uk/objects/uuid:c9face88-3a86-461d-9c4d-86c2672c8a1a</x:v>
      </x:c>
      <x:c r="W107" s="73" t="str">
        <x:v>10.1111/josp.12308</x:v>
      </x:c>
      <x:c r="X107" s="93" t="n">
        <x:v>46230</x:v>
      </x:c>
      <x:c r="Y107" s="93" t="n">
        <x:v>46230</x:v>
      </x:c>
      <x:c r="Z107" s="73" t="str"/>
      <x:c r="AA107" s="73" t="str"/>
      <x:c r="AB107" s="73" t="n">
        <x:v>102</x:v>
      </x:c>
      <x:c r="AC107" s="73" t="str">
        <x:v>ADJACENT CONTEXT</x:v>
      </x:c>
      <x:c r="AD107" s="73" t="str">
        <x:v>MECHANISM / ADJACENT</x:v>
      </x:c>
      <x:c r="AE107" s="73" t="str">
        <x:v>ADJACENT</x:v>
      </x:c>
      <x:c r="AF107" s="73" t="str">
        <x:v>Disproportionate and weakly accountable online public shaming</x:v>
      </x:c>
      <x:c r="AG107" s="73" t="str">
        <x:v>DIRECT ENTAILMENT</x:v>
      </x:c>
      <x:c r="AH107" s="73" t="str">
        <x:v>Paraphrase: Platform scale and weak accountability make most actual online shaming cases disproportionate and unjustified.</x:v>
      </x:c>
      <x:c r="AI107" s="73" t="str">
        <x:v>Article argument and conclusion, pp. 371–390</x:v>
      </x:c>
      <x:c r="AJ107" s="73" t="str">
        <x:v>https://ora.ox.ac.uk/objects/uuid:c9face88-3a86-461d-9c4d-86c2672c8a1a</x:v>
      </x:c>
      <x:c r="AK107" s="73" t="str">
        <x:v>NO EVIDENCE</x:v>
      </x:c>
      <x:c r="AL107" s="73" t="str"/>
      <x:c r="AM107" s="73" t="str"/>
      <x:c r="AN107" s="73" t="str"/>
      <x:c r="AO107" s="73" t="str"/>
      <x:c r="AP107" s="73" t="str">
        <x:v>Legal/privacy expansion research pass</x:v>
      </x:c>
      <x:c r="AQ107" s="73" t="str">
        <x:v>GORGONWARS-PREMISE-1.0</x:v>
      </x:c>
      <x:c r="AR107" s="73" t="str"/>
      <x:c r="AS107" s="82" t="str">
        <x:f>IF(A107="","",IF(OR(E107="NOT APPLICABLE",E107="PREMISES UNRESOLVED"),"N/A",IF(OR(AND(F107&lt;&gt;"NO EVIDENCE",F107&lt;&gt;"NOT APPLICABLE",OR(AG107="",AH107="",AI107="",AJ107="",AG107="SYSTEM INFERENCE",AG107="ABSTRACT ONLY",AG107="SECONDARY REPORT",AG107="UNVERIFIED",AI107="Exact locator needed",AI107="HAU forum framing; exact target locator needed",AI107="Forum exchange; exact locator needed")),AND(G107&lt;&gt;"NO EVIDENCE",G107&lt;&gt;"NOT APPLICABLE",OR(AK107="",AL107="",AM107="",AN107="",AK107="SYSTEM INFERENCE",AK107="ABSTRACT ONLY",AK107="SECONDARY REPORT",AK107="UNVERIFIED",AM107="Exact locator needed",AM107="HAU forum framing; exact target locator needed",AM107="Forum exchange; exact locator needed"))),"EVIDENCE DEBT","READY")))</x:f>
        <x:v>READY</x:v>
      </x:c>
      <x:c r="AT107" s="74" t="str">
        <x:v>Added in legal, privacy, due-process, and public-shaming expansion.</x:v>
      </x:c>
    </x:row>
    <x:row r="108" ht="50" customHeight="1">
      <x:c r="A108" s="86" t="n">
        <x:v>103</x:v>
      </x:c>
      <x:c r="B108" s="76" t="str">
        <x:v>Needs full text</x:v>
      </x:c>
      <x:c r="C108" s="90" t="n">
        <x:v>6</x:v>
      </x:c>
      <x:c r="D108" s="82" t="str">
        <x:f>IF(C108="","",IFERROR(VLOOKUP(C108,'Database controls'!$A$5:$B$20,2,FALSE),"NEW / UNCATEGORIZED"))</x:f>
        <x:v>Due process, punishment, and procedural limits</x:v>
      </x:c>
      <x:c r="E108" s="76" t="str">
        <x:v>OUTSIDE / EXCOMMUNICABLE</x:v>
      </x:c>
      <x:c r="F108" s="76" t="str">
        <x:v>REJECTS</x:v>
      </x:c>
      <x:c r="G108" s="76" t="str">
        <x:v>NO EVIDENCE</x:v>
      </x:c>
      <x:c r="H108" s="82" t="str">
        <x:f>IF(A108="","",IF(OR(F108="REJECTS",G108="REJECTS"),"OUTSIDE / EXCOMMUNICABLE",IF(AND(OR(F108="RETAINS",F108="RETAINS WITH QUALIFICATION"),OR(G108="RETAINS",G108="RETAINS WITH QUALIFICATION")),"INTERNAL GORGONWARS",IF(AND(F108="NOT APPLICABLE",G108="NOT APPLICABLE"),"NOT APPLICABLE","PREMISES UNRESOLVED"))))</x:f>
        <x:v>OUTSIDE / EXCOMMUNICABLE</x:v>
      </x:c>
      <x:c r="I108" s="82" t="str">
        <x:f>IF(A108="","",IF(E108=H108,"OK",IF(AO108&lt;&gt;"","OVERRIDDEN","REVIEW")))</x:f>
        <x:v>OK</x:v>
      </x:c>
      <x:c r="J108" s="76" t="str">
        <x:v>General political-philosophy critique of platform-scale public punishment</x:v>
      </x:c>
      <x:c r="K108" s="76" t="str">
        <x:v>Movement-adjacent</x:v>
      </x:c>
      <x:c r="L108" s="76" t="str">
        <x:v>Peer-reviewed journal article</x:v>
      </x:c>
      <x:c r="M108" s="76" t="str">
        <x:v>Peer-reviewed</x:v>
      </x:c>
      <x:c r="N108" s="90" t="n">
        <x:v>2022</x:v>
      </x:c>
      <x:c r="O108" s="76" t="str">
        <x:v>Harrison Frye</x:v>
      </x:c>
      <x:c r="P108" s="76" t="str">
        <x:v>The Problem of Public Shaming</x:v>
      </x:c>
      <x:c r="Q108" s="76" t="str">
        <x:v>Journal of Political Philosophy 30:188–208</x:v>
      </x:c>
      <x:c r="R108" s="76" t="str">
        <x:v>English</x:v>
      </x:c>
      <x:c r="S108" s="76" t="str">
        <x:v>Even deserved criticism becomes unjust when platform scale produces predictable error, disproportionality, and alienation.</x:v>
      </x:c>
      <x:c r="T108" s="76" t="str">
        <x:v>General mechanism source; relation to #MeToo is citation-neighbor analogy rather than a movement-specific thesis.</x:v>
      </x:c>
      <x:c r="U108" s="76" t="str">
        <x:v>Partial / target-text gap</x:v>
      </x:c>
      <x:c r="V108" s="76" t="str">
        <x:v>https://doi.org/10.1111/jopp.12252</x:v>
      </x:c>
      <x:c r="W108" s="76" t="str">
        <x:v>10.1111/jopp.12252</x:v>
      </x:c>
      <x:c r="X108" s="94" t="n">
        <x:v>46230</x:v>
      </x:c>
      <x:c r="Y108" s="94" t="n">
        <x:v>46230</x:v>
      </x:c>
      <x:c r="Z108" s="76" t="str"/>
      <x:c r="AA108" s="76" t="str"/>
      <x:c r="AB108" s="76" t="n">
        <x:v>103</x:v>
      </x:c>
      <x:c r="AC108" s="76" t="str">
        <x:v>ADJACENT CONTEXT</x:v>
      </x:c>
      <x:c r="AD108" s="76" t="str">
        <x:v>MECHANISM / ADJACENT</x:v>
      </x:c>
      <x:c r="AE108" s="76" t="str">
        <x:v>ADJACENT</x:v>
      </x:c>
      <x:c r="AF108" s="76" t="str">
        <x:v>Predictable error, disproportionality, and alienation in public shaming</x:v>
      </x:c>
      <x:c r="AG108" s="76" t="str">
        <x:v>UNVERIFIED</x:v>
      </x:c>
      <x:c r="AH108" s="76" t="str">
        <x:v>Paraphrase from the structured audit: platform-scale public shaming produces predictable error, disproportionality, and alienation even when criticism begins from a real wrong.</x:v>
      </x:c>
      <x:c r="AI108" s="76" t="str">
        <x:v>Full-text locator still needed</x:v>
      </x:c>
      <x:c r="AJ108" s="76" t="str">
        <x:v>https://doi.org/10.1111/jopp.12252</x:v>
      </x:c>
      <x:c r="AK108" s="76" t="str">
        <x:v>NO EVIDENCE</x:v>
      </x:c>
      <x:c r="AL108" s="76" t="str"/>
      <x:c r="AM108" s="76" t="str"/>
      <x:c r="AN108" s="76" t="str"/>
      <x:c r="AO108" s="76" t="str"/>
      <x:c r="AP108" s="76" t="str">
        <x:v>Legal/privacy expansion research pass</x:v>
      </x:c>
      <x:c r="AQ108" s="76" t="str">
        <x:v>GORGONWARS-PREMISE-1.0</x:v>
      </x:c>
      <x:c r="AR108" s="76" t="str"/>
      <x:c r="AS108" s="82" t="str">
        <x:f>IF(A108="","",IF(OR(E108="NOT APPLICABLE",E108="PREMISES UNRESOLVED"),"N/A",IF(OR(AND(F108&lt;&gt;"NO EVIDENCE",F108&lt;&gt;"NOT APPLICABLE",OR(AG108="",AH108="",AI108="",AJ108="",AG108="SYSTEM INFERENCE",AG108="ABSTRACT ONLY",AG108="SECONDARY REPORT",AG108="UNVERIFIED",AI108="Exact locator needed",AI108="HAU forum framing; exact target locator needed",AI108="Forum exchange; exact locator needed")),AND(G108&lt;&gt;"NO EVIDENCE",G108&lt;&gt;"NOT APPLICABLE",OR(AK108="",AL108="",AM108="",AN108="",AK108="SYSTEM INFERENCE",AK108="ABSTRACT ONLY",AK108="SECONDARY REPORT",AK108="UNVERIFIED",AM108="Exact locator needed",AM108="HAU forum framing; exact target locator needed",AM108="Forum exchange; exact locator needed"))),"EVIDENCE DEBT","READY")))</x:f>
        <x:v>EVIDENCE DEBT</x:v>
      </x:c>
      <x:c r="AT108" s="77" t="str">
        <x:v>Added in legal, privacy, due-process, and public-shaming expansion.</x:v>
      </x:c>
    </x:row>
    <x:row r="109" ht="50" customHeight="1">
      <x:c r="A109" s="85" t="n">
        <x:v>104</x:v>
      </x:c>
      <x:c r="B109" s="73" t="str">
        <x:v>Provisional</x:v>
      </x:c>
      <x:c r="C109" s="89" t="n">
        <x:v>4</x:v>
      </x:c>
      <x:c r="D109" s="82" t="str">
        <x:f>IF(C109="","",IFERROR(VLOOKUP(C109,'Database controls'!$A$5:$B$20,2,FALSE),"NEW / UNCATEGORIZED"))</x:f>
        <x:v>Testimony, belief, and epistemic authority</x:v>
      </x:c>
      <x:c r="E109" s="73" t="str">
        <x:v>OUTSIDE / EXCOMMUNICABLE</x:v>
      </x:c>
      <x:c r="F109" s="73" t="str">
        <x:v>NO EVIDENCE</x:v>
      </x:c>
      <x:c r="G109" s="73" t="str">
        <x:v>REJECTS</x:v>
      </x:c>
      <x:c r="H109" s="82" t="str">
        <x:f>IF(A109="","",IF(OR(F109="REJECTS",G109="REJECTS"),"OUTSIDE / EXCOMMUNICABLE",IF(AND(OR(F109="RETAINS",F109="RETAINS WITH QUALIFICATION"),OR(G109="RETAINS",G109="RETAINS WITH QUALIFICATION")),"INTERNAL GORGONWARS",IF(AND(F109="NOT APPLICABLE",G109="NOT APPLICABLE"),"NOT APPLICABLE","PREMISES UNRESOLVED"))))</x:f>
        <x:v>OUTSIDE / EXCOMMUNICABLE</x:v>
      </x:c>
      <x:c r="I109" s="82" t="str">
        <x:f>IF(A109="","",IF(E109=H109,"OK",IF(AO109&lt;&gt;"","OVERRIDDEN","REVIEW")))</x:f>
        <x:v>OK</x:v>
      </x:c>
      <x:c r="J109" s="73" t="str">
        <x:v>Direct epistemic challenge to moral-encroachment defenses of #BelieveWomen</x:v>
      </x:c>
      <x:c r="K109" s="73" t="str">
        <x:v>Direct #MeToo critique</x:v>
      </x:c>
      <x:c r="L109" s="73" t="str">
        <x:v>Book chapter</x:v>
      </x:c>
      <x:c r="M109" s="73" t="str">
        <x:v>Unresolved</x:v>
      </x:c>
      <x:c r="N109" s="89" t="n">
        <x:v>2026</x:v>
      </x:c>
      <x:c r="O109" s="73" t="str">
        <x:v>Stephanie Leary</x:v>
      </x:c>
      <x:c r="P109" s="73" t="str">
        <x:v>Moral Encroachment and #BelieveWomen</x:v>
      </x:c>
      <x:c r="Q109" s="73" t="str">
        <x:v>Oxford Studies in Epistemology, volume 8:166–186</x:v>
      </x:c>
      <x:c r="R109" s="73" t="str">
        <x:v>English</x:v>
      </x:c>
      <x:c r="S109" s="73" t="str">
        <x:v>Even if false disbelief can wrong women, that moral risk cannot itself make a contested allegation epistemically justified.</x:v>
      </x:c>
      <x:c r="T109" s="73" t="str">
        <x:v>A scholarly book-series chapter; argues incompatibility with one moral-encroachment route rather than rejecting every reason to credit testimony.</x:v>
      </x:c>
      <x:c r="U109" s="73" t="str">
        <x:v>Abstract only</x:v>
      </x:c>
      <x:c r="V109" s="73" t="str">
        <x:v>https://academic.oup.com/book/61877/chapter/547494695</x:v>
      </x:c>
      <x:c r="W109" s="73" t="str">
        <x:v>10.1093/9780198975847.003.0008</x:v>
      </x:c>
      <x:c r="X109" s="93" t="n">
        <x:v>46230</x:v>
      </x:c>
      <x:c r="Y109" s="93" t="n">
        <x:v>46230</x:v>
      </x:c>
      <x:c r="Z109" s="73" t="str"/>
      <x:c r="AA109" s="73" t="str"/>
      <x:c r="AB109" s="73" t="n">
        <x:v>104</x:v>
      </x:c>
      <x:c r="AC109" s="73" t="str">
        <x:v>DIRECT OUTSIDE CRITIQUE</x:v>
      </x:c>
      <x:c r="AD109" s="73" t="str">
        <x:v>EXPLICIT CRITIQUE</x:v>
      </x:c>
      <x:c r="AE109" s="73" t="str">
        <x:v>YES</x:v>
      </x:c>
      <x:c r="AF109" s="73" t="str">
        <x:v>Moral risk being used to raise or lower the epistemic threshold for believing women</x:v>
      </x:c>
      <x:c r="AG109" s="73" t="str">
        <x:v>NO EVIDENCE</x:v>
      </x:c>
      <x:c r="AH109" s="73" t="str"/>
      <x:c r="AI109" s="73" t="str"/>
      <x:c r="AJ109" s="73" t="str">
        <x:v>https://academic.oup.com/book/61877/chapter/547494695</x:v>
      </x:c>
      <x:c r="AK109" s="73" t="str">
        <x:v>ABSTRACT ONLY</x:v>
      </x:c>
      <x:c r="AL109" s="73" t="str">
        <x:v>Paraphrase: Moral encroachment and #BelieveWomen conflict because moral risk alone does not epistemically justify the demanded belief.</x:v>
      </x:c>
      <x:c r="AM109" s="73" t="str">
        <x:v>Abstract</x:v>
      </x:c>
      <x:c r="AN109" s="73" t="str">
        <x:v>https://academic.oup.com/book/61877/chapter/547494695</x:v>
      </x:c>
      <x:c r="AO109" s="73" t="str"/>
      <x:c r="AP109" s="73" t="str">
        <x:v>Legal/privacy expansion research pass</x:v>
      </x:c>
      <x:c r="AQ109" s="73" t="str">
        <x:v>GORGONWARS-PREMISE-1.0</x:v>
      </x:c>
      <x:c r="AR109" s="73" t="str"/>
      <x:c r="AS109" s="82" t="str">
        <x:f>IF(A109="","",IF(OR(E109="NOT APPLICABLE",E109="PREMISES UNRESOLVED"),"N/A",IF(OR(AND(F109&lt;&gt;"NO EVIDENCE",F109&lt;&gt;"NOT APPLICABLE",OR(AG109="",AH109="",AI109="",AJ109="",AG109="SYSTEM INFERENCE",AG109="ABSTRACT ONLY",AG109="SECONDARY REPORT",AG109="UNVERIFIED",AI109="Exact locator needed",AI109="HAU forum framing; exact target locator needed",AI109="Forum exchange; exact locator needed")),AND(G109&lt;&gt;"NO EVIDENCE",G109&lt;&gt;"NOT APPLICABLE",OR(AK109="",AL109="",AM109="",AN109="",AK109="SYSTEM INFERENCE",AK109="ABSTRACT ONLY",AK109="SECONDARY REPORT",AK109="UNVERIFIED",AM109="Exact locator needed",AM109="HAU forum framing; exact target locator needed",AM109="Forum exchange; exact locator needed"))),"EVIDENCE DEBT","READY")))</x:f>
        <x:v>EVIDENCE DEBT</x:v>
      </x:c>
      <x:c r="AT109" s="74" t="str">
        <x:v>Added in legal, privacy, due-process, and public-shaming expansion.</x:v>
      </x:c>
    </x:row>
    <x:row r="110" ht="50" customHeight="1">
      <x:c r="A110" s="86" t="n">
        <x:v>105</x:v>
      </x:c>
      <x:c r="B110" s="76" t="str">
        <x:v>Provisional</x:v>
      </x:c>
      <x:c r="C110" s="90" t="n">
        <x:v>2</x:v>
      </x:c>
      <x:c r="D110" s="82" t="str">
        <x:f>IF(C110="","",IFERROR(VLOOKUP(C110,'Database controls'!$A$5:$B$20,2,FALSE),"NEW / UNCATEGORIZED"))</x:f>
        <x:v>Foundational public/private-boundary dissent</x:v>
      </x:c>
      <x:c r="E110" s="76" t="str">
        <x:v>OUTSIDE / EXCOMMUNICABLE</x:v>
      </x:c>
      <x:c r="F110" s="76" t="str">
        <x:v>REJECTS</x:v>
      </x:c>
      <x:c r="G110" s="76" t="str">
        <x:v>NO EVIDENCE</x:v>
      </x:c>
      <x:c r="H110" s="82" t="str">
        <x:f>IF(A110="","",IF(OR(F110="REJECTS",G110="REJECTS"),"OUTSIDE / EXCOMMUNICABLE",IF(AND(OR(F110="RETAINS",F110="RETAINS WITH QUALIFICATION"),OR(G110="RETAINS",G110="RETAINS WITH QUALIFICATION")),"INTERNAL GORGONWARS",IF(AND(F110="NOT APPLICABLE",G110="NOT APPLICABLE"),"NOT APPLICABLE","PREMISES UNRESOLVED"))))</x:f>
        <x:v>OUTSIDE / EXCOMMUNICABLE</x:v>
      </x:c>
      <x:c r="I110" s="82" t="str">
        <x:f>IF(A110="","",IF(E110=H110,"OK",IF(AO110&lt;&gt;"","OVERRIDDEN","REVIEW")))</x:f>
        <x:v>OK</x:v>
      </x:c>
      <x:c r="J110" s="76" t="str">
        <x:v>Direct #MeToo defense of a sexual-harassment victim’s right not to be publicly identified</x:v>
      </x:c>
      <x:c r="K110" s="76" t="str">
        <x:v>Direct #MeToo critique</x:v>
      </x:c>
      <x:c r="L110" s="76" t="str">
        <x:v>Peer-reviewed journal article</x:v>
      </x:c>
      <x:c r="M110" s="76" t="str">
        <x:v>Peer-reviewed</x:v>
      </x:c>
      <x:c r="N110" s="90" t="n">
        <x:v>2021</x:v>
      </x:c>
      <x:c r="O110" s="76" t="str">
        <x:v>Alexandra Gronow</x:v>
      </x:c>
      <x:c r="P110" s="76" t="str">
        <x:v>Identifying victims of sexual harassment in the age of #MeToo: Time for the media to prioritise a victim’s right to privacy</x:v>
      </x:c>
      <x:c r="Q110" s="76" t="str">
        <x:v>Alternative Law Journal 46(2):120–127</x:v>
      </x:c>
      <x:c r="R110" s="76" t="str">
        <x:v>English</x:v>
      </x:c>
      <x:c r="S110" s="76" t="str">
        <x:v>A movement against harassment does not acquire an automatic right to expose the person who reported it; publication should require her consent.</x:v>
      </x:c>
      <x:c r="T110" s="76" t="str">
        <x:v>Protects accusers’ privacy and does not reject voluntary political speech or #MeToo generally.</x:v>
      </x:c>
      <x:c r="U110" s="76" t="str">
        <x:v>Abstract only</x:v>
      </x:c>
      <x:c r="V110" s="76" t="str">
        <x:v>https://journals.sagepub.com/doi/abs/10.1177/1037969X211003681</x:v>
      </x:c>
      <x:c r="W110" s="76" t="str">
        <x:v>10.1177/1037969X211003681</x:v>
      </x:c>
      <x:c r="X110" s="94" t="n">
        <x:v>46230</x:v>
      </x:c>
      <x:c r="Y110" s="94" t="n">
        <x:v>46230</x:v>
      </x:c>
      <x:c r="Z110" s="76" t="str"/>
      <x:c r="AA110" s="76" t="str"/>
      <x:c r="AB110" s="76" t="n">
        <x:v>105</x:v>
      </x:c>
      <x:c r="AC110" s="76" t="str">
        <x:v>DIRECT OUTSIDE CRITIQUE</x:v>
      </x:c>
      <x:c r="AD110" s="76" t="str">
        <x:v>MIXED / QUALIFIED CRITIQUE</x:v>
      </x:c>
      <x:c r="AE110" s="76" t="str">
        <x:v>YES</x:v>
      </x:c>
      <x:c r="AF110" s="76" t="str">
        <x:v>Media identification of sexual-harassment victims without consent</x:v>
      </x:c>
      <x:c r="AG110" s="76" t="str">
        <x:v>ABSTRACT ONLY</x:v>
      </x:c>
      <x:c r="AH110" s="76" t="str">
        <x:v>Quote: a victim’s privacy is “a fundamental human right which should trump competing public interest considerations.”</x:v>
      </x:c>
      <x:c r="AI110" s="76" t="str">
        <x:v>Abstract</x:v>
      </x:c>
      <x:c r="AJ110" s="76" t="str">
        <x:v>https://journals.sagepub.com/doi/abs/10.1177/1037969X211003681</x:v>
      </x:c>
      <x:c r="AK110" s="76" t="str">
        <x:v>NO EVIDENCE</x:v>
      </x:c>
      <x:c r="AL110" s="76" t="str"/>
      <x:c r="AM110" s="76" t="str"/>
      <x:c r="AN110" s="76" t="str"/>
      <x:c r="AO110" s="76" t="str"/>
      <x:c r="AP110" s="76" t="str">
        <x:v>Legal/privacy expansion research pass</x:v>
      </x:c>
      <x:c r="AQ110" s="76" t="str">
        <x:v>GORGONWARS-PREMISE-1.0</x:v>
      </x:c>
      <x:c r="AR110" s="76" t="str"/>
      <x:c r="AS110" s="82" t="str">
        <x:f>IF(A110="","",IF(OR(E110="NOT APPLICABLE",E110="PREMISES UNRESOLVED"),"N/A",IF(OR(AND(F110&lt;&gt;"NO EVIDENCE",F110&lt;&gt;"NOT APPLICABLE",OR(AG110="",AH110="",AI110="",AJ110="",AG110="SYSTEM INFERENCE",AG110="ABSTRACT ONLY",AG110="SECONDARY REPORT",AG110="UNVERIFIED",AI110="Exact locator needed",AI110="HAU forum framing; exact target locator needed",AI110="Forum exchange; exact locator needed")),AND(G110&lt;&gt;"NO EVIDENCE",G110&lt;&gt;"NOT APPLICABLE",OR(AK110="",AL110="",AM110="",AN110="",AK110="SYSTEM INFERENCE",AK110="ABSTRACT ONLY",AK110="SECONDARY REPORT",AK110="UNVERIFIED",AM110="Exact locator needed",AM110="HAU forum framing; exact target locator needed",AM110="Forum exchange; exact locator needed"))),"EVIDENCE DEBT","READY")))</x:f>
        <x:v>EVIDENCE DEBT</x:v>
      </x:c>
      <x:c r="AT110" s="77" t="str">
        <x:v>Added in legal, privacy, due-process, and public-shaming expansion.</x:v>
      </x:c>
    </x:row>
    <x:row r="111" ht="50" customHeight="1">
      <x:c r="A111" s="85" t="n">
        <x:v>106</x:v>
      </x:c>
      <x:c r="B111" s="73" t="str">
        <x:v>Provisional</x:v>
      </x:c>
      <x:c r="C111" s="89" t="n">
        <x:v>2</x:v>
      </x:c>
      <x:c r="D111" s="82" t="str">
        <x:f>IF(C111="","",IFERROR(VLOOKUP(C111,'Database controls'!$A$5:$B$20,2,FALSE),"NEW / UNCATEGORIZED"))</x:f>
        <x:v>Foundational public/private-boundary dissent</x:v>
      </x:c>
      <x:c r="E111" s="73" t="str">
        <x:v>OUTSIDE / EXCOMMUNICABLE</x:v>
      </x:c>
      <x:c r="F111" s="73" t="str">
        <x:v>REJECTS</x:v>
      </x:c>
      <x:c r="G111" s="73" t="str">
        <x:v>NO EVIDENCE</x:v>
      </x:c>
      <x:c r="H111" s="82" t="str">
        <x:f>IF(A111="","",IF(OR(F111="REJECTS",G111="REJECTS"),"OUTSIDE / EXCOMMUNICABLE",IF(AND(OR(F111="RETAINS",F111="RETAINS WITH QUALIFICATION"),OR(G111="RETAINS",G111="RETAINS WITH QUALIFICATION")),"INTERNAL GORGONWARS",IF(AND(F111="NOT APPLICABLE",G111="NOT APPLICABLE"),"NOT APPLICABLE","PREMISES UNRESOLVED"))))</x:f>
        <x:v>OUTSIDE / EXCOMMUNICABLE</x:v>
      </x:c>
      <x:c r="I111" s="82" t="str">
        <x:f>IF(A111="","",IF(E111=H111,"OK",IF(AO111&lt;&gt;"","OVERRIDDEN","REVIEW")))</x:f>
        <x:v>OK</x:v>
      </x:c>
      <x:c r="J111" s="73" t="str">
        <x:v>Direct #MeToo argument for accusers’ legal return to private life</x:v>
      </x:c>
      <x:c r="K111" s="73" t="str">
        <x:v>Direct #MeToo critique</x:v>
      </x:c>
      <x:c r="L111" s="73" t="str">
        <x:v>Peer-reviewed journal article</x:v>
      </x:c>
      <x:c r="M111" s="73" t="str">
        <x:v>Peer-reviewed</x:v>
      </x:c>
      <x:c r="N111" s="89" t="n">
        <x:v>2025</x:v>
      </x:c>
      <x:c r="O111" s="73" t="str">
        <x:v>Amy Gajda</x:v>
      </x:c>
      <x:c r="P111" s="73" t="str">
        <x:v>Becoming private after public allegations: a right to be forgotten for #MeToo accusers in the United States</x:v>
      </x:c>
      <x:c r="Q111" s="73" t="str">
        <x:v>Journal of Media Law 17(2):315–337</x:v>
      </x:c>
      <x:c r="R111" s="73" t="str">
        <x:v>English</x:v>
      </x:c>
      <x:c r="S111" s="73" t="str">
        <x:v>Public participation in #MeToo should not sentence an accuser to permanent legal public-figure status.</x:v>
      </x:c>
      <x:c r="T111" s="73" t="str">
        <x:v>Protects accusers and proposes a time-limited privacy doctrine rather than rejecting public allegation generally.</x:v>
      </x:c>
      <x:c r="U111" s="73" t="str">
        <x:v>Abstract only</x:v>
      </x:c>
      <x:c r="V111" s="73" t="str">
        <x:v>https://www.tandfonline.com/doi/full/10.1080/17577632.2025.2568265</x:v>
      </x:c>
      <x:c r="W111" s="73" t="str">
        <x:v>10.1080/17577632.2025.2568265</x:v>
      </x:c>
      <x:c r="X111" s="93" t="n">
        <x:v>46230</x:v>
      </x:c>
      <x:c r="Y111" s="93" t="n">
        <x:v>46230</x:v>
      </x:c>
      <x:c r="Z111" s="73" t="str"/>
      <x:c r="AA111" s="73" t="str"/>
      <x:c r="AB111" s="73" t="n">
        <x:v>106</x:v>
      </x:c>
      <x:c r="AC111" s="73" t="str">
        <x:v>DIRECT OUTSIDE CRITIQUE</x:v>
      </x:c>
      <x:c r="AD111" s="73" t="str">
        <x:v>MIXED / QUALIFIED CRITIQUE</x:v>
      </x:c>
      <x:c r="AE111" s="73" t="str">
        <x:v>YES</x:v>
      </x:c>
      <x:c r="AF111" s="73" t="str">
        <x:v>Permanent public-figure treatment of #MeToo accusers</x:v>
      </x:c>
      <x:c r="AG111" s="73" t="str">
        <x:v>ABSTRACT ONLY</x:v>
      </x:c>
      <x:c r="AH111" s="73" t="str">
        <x:v>Quote: “#MeToo individuals and others can and should be able to return to private life in a legal sense once enough time has passed.”</x:v>
      </x:c>
      <x:c r="AI111" s="73" t="str">
        <x:v>Abstract</x:v>
      </x:c>
      <x:c r="AJ111" s="73" t="str">
        <x:v>https://www.tandfonline.com/doi/full/10.1080/17577632.2025.2568265</x:v>
      </x:c>
      <x:c r="AK111" s="73" t="str">
        <x:v>NO EVIDENCE</x:v>
      </x:c>
      <x:c r="AL111" s="73" t="str"/>
      <x:c r="AM111" s="73" t="str"/>
      <x:c r="AN111" s="73" t="str"/>
      <x:c r="AO111" s="73" t="str"/>
      <x:c r="AP111" s="73" t="str">
        <x:v>Legal/privacy expansion research pass</x:v>
      </x:c>
      <x:c r="AQ111" s="73" t="str">
        <x:v>GORGONWARS-PREMISE-1.0</x:v>
      </x:c>
      <x:c r="AR111" s="73" t="str"/>
      <x:c r="AS111" s="82" t="str">
        <x:f>IF(A111="","",IF(OR(E111="NOT APPLICABLE",E111="PREMISES UNRESOLVED"),"N/A",IF(OR(AND(F111&lt;&gt;"NO EVIDENCE",F111&lt;&gt;"NOT APPLICABLE",OR(AG111="",AH111="",AI111="",AJ111="",AG111="SYSTEM INFERENCE",AG111="ABSTRACT ONLY",AG111="SECONDARY REPORT",AG111="UNVERIFIED",AI111="Exact locator needed",AI111="HAU forum framing; exact target locator needed",AI111="Forum exchange; exact locator needed")),AND(G111&lt;&gt;"NO EVIDENCE",G111&lt;&gt;"NOT APPLICABLE",OR(AK111="",AL111="",AM111="",AN111="",AK111="SYSTEM INFERENCE",AK111="ABSTRACT ONLY",AK111="SECONDARY REPORT",AK111="UNVERIFIED",AM111="Exact locator needed",AM111="HAU forum framing; exact target locator needed",AM111="Forum exchange; exact locator needed"))),"EVIDENCE DEBT","READY")))</x:f>
        <x:v>EVIDENCE DEBT</x:v>
      </x:c>
      <x:c r="AT111" s="74" t="str">
        <x:v>Added in legal, privacy, due-process, and public-shaming expansion.</x:v>
      </x:c>
    </x:row>
    <x:row r="112" ht="50" customHeight="1">
      <x:c r="A112" s="86" t="n">
        <x:v>107</x:v>
      </x:c>
      <x:c r="B112" s="76" t="str">
        <x:v>Active</x:v>
      </x:c>
      <x:c r="C112" s="90" t="n">
        <x:v>2</x:v>
      </x:c>
      <x:c r="D112" s="82" t="str">
        <x:f>IF(C112="","",IFERROR(VLOOKUP(C112,'Database controls'!$A$5:$B$20,2,FALSE),"NEW / UNCATEGORIZED"))</x:f>
        <x:v>Foundational public/private-boundary dissent</x:v>
      </x:c>
      <x:c r="E112" s="76" t="str">
        <x:v>OUTSIDE / EXCOMMUNICABLE</x:v>
      </x:c>
      <x:c r="F112" s="76" t="str">
        <x:v>REJECTS</x:v>
      </x:c>
      <x:c r="G112" s="76" t="str">
        <x:v>NO EVIDENCE</x:v>
      </x:c>
      <x:c r="H112" s="82" t="str">
        <x:f>IF(A112="","",IF(OR(F112="REJECTS",G112="REJECTS"),"OUTSIDE / EXCOMMUNICABLE",IF(AND(OR(F112="RETAINS",F112="RETAINS WITH QUALIFICATION"),OR(G112="RETAINS",G112="RETAINS WITH QUALIFICATION")),"INTERNAL GORGONWARS",IF(AND(F112="NOT APPLICABLE",G112="NOT APPLICABLE"),"NOT APPLICABLE","PREMISES UNRESOLVED"))))</x:f>
        <x:v>OUTSIDE / EXCOMMUNICABLE</x:v>
      </x:c>
      <x:c r="I112" s="82" t="str">
        <x:f>IF(A112="","",IF(E112=H112,"OK",IF(AO112&lt;&gt;"","OVERRIDDEN","REVIEW")))</x:f>
        <x:v>OK</x:v>
      </x:c>
      <x:c r="J112" s="76" t="str">
        <x:v>Direct media-law rejection of unrestricted publication of named sexual-misconduct allegations</x:v>
      </x:c>
      <x:c r="K112" s="76" t="str">
        <x:v>Direct #MeToo critique</x:v>
      </x:c>
      <x:c r="L112" s="76" t="str">
        <x:v>Peer-reviewed journal article</x:v>
      </x:c>
      <x:c r="M112" s="76" t="str">
        <x:v>Peer-reviewed</x:v>
      </x:c>
      <x:c r="N112" s="90" t="n">
        <x:v>2026</x:v>
      </x:c>
      <x:c r="O112" s="76" t="str">
        <x:v>Fiona Brimblecombe</x:v>
      </x:c>
      <x:c r="P112" s="76" t="str">
        <x:v>Allegations of sexual misconduct, wrongdoing and the ‘public interest’ in media law</x:v>
      </x:c>
      <x:c r="Q112" s="76" t="str">
        <x:v>Journal of Media Law:393–426</x:v>
      </x:c>
      <x:c r="R112" s="76" t="str">
        <x:v>English</x:v>
      </x:c>
      <x:c r="S112" s="76" t="str">
        <x:v>The public may legitimately discuss sexual violence, but naming a person as a rapist is not automatically public-interest speech and privacy law still matters.</x:v>
      </x:c>
      <x:c r="T112" s="76" t="str">
        <x:v>Balanced media-law analysis that supports accountability and victims’ privacy rather than blanket secrecy.</x:v>
      </x:c>
      <x:c r="U112" s="76" t="str">
        <x:v>Full text verified</x:v>
      </x:c>
      <x:c r="V112" s="76" t="str">
        <x:v>https://www.tandfonline.com/doi/full/10.1080/17577632.2026.2640307</x:v>
      </x:c>
      <x:c r="W112" s="76" t="str">
        <x:v>10.1080/17577632.2026.2640307</x:v>
      </x:c>
      <x:c r="X112" s="94" t="n">
        <x:v>46230</x:v>
      </x:c>
      <x:c r="Y112" s="94" t="n">
        <x:v>46230</x:v>
      </x:c>
      <x:c r="Z112" s="76" t="str"/>
      <x:c r="AA112" s="76" t="str"/>
      <x:c r="AB112" s="76" t="n">
        <x:v>107</x:v>
      </x:c>
      <x:c r="AC112" s="76" t="str">
        <x:v>DIRECT OUTSIDE CRITIQUE</x:v>
      </x:c>
      <x:c r="AD112" s="76" t="str">
        <x:v>MIXED / QUALIFIED CRITIQUE</x:v>
      </x:c>
      <x:c r="AE112" s="76" t="str">
        <x:v>YES</x:v>
      </x:c>
      <x:c r="AF112" s="76" t="str">
        <x:v>Assuming named sexual-misconduct allegations are automatically in the public interest</x:v>
      </x:c>
      <x:c r="AG112" s="76" t="str">
        <x:v>DIRECT EXPLICIT</x:v>
      </x:c>
      <x:c r="AH112" s="76" t="str">
        <x:v>Quote: unrestricted publication would ignore “the long history and powerful reasons behind the English ‘tort of privacy.’”</x:v>
      </x:c>
      <x:c r="AI112" s="76" t="str">
        <x:v>Section “Misuse of private information: a positive practice”</x:v>
      </x:c>
      <x:c r="AJ112" s="76" t="str">
        <x:v>https://www.tandfonline.com/doi/full/10.1080/17577632.2026.2640307</x:v>
      </x:c>
      <x:c r="AK112" s="76" t="str">
        <x:v>NO EVIDENCE</x:v>
      </x:c>
      <x:c r="AL112" s="76" t="str"/>
      <x:c r="AM112" s="76" t="str"/>
      <x:c r="AN112" s="76" t="str"/>
      <x:c r="AO112" s="76" t="str"/>
      <x:c r="AP112" s="76" t="str">
        <x:v>Legal/privacy expansion research pass</x:v>
      </x:c>
      <x:c r="AQ112" s="76" t="str">
        <x:v>GORGONWARS-PREMISE-1.0</x:v>
      </x:c>
      <x:c r="AR112" s="76" t="str"/>
      <x:c r="AS112" s="82" t="str">
        <x:f>IF(A112="","",IF(OR(E112="NOT APPLICABLE",E112="PREMISES UNRESOLVED"),"N/A",IF(OR(AND(F112&lt;&gt;"NO EVIDENCE",F112&lt;&gt;"NOT APPLICABLE",OR(AG112="",AH112="",AI112="",AJ112="",AG112="SYSTEM INFERENCE",AG112="ABSTRACT ONLY",AG112="SECONDARY REPORT",AG112="UNVERIFIED",AI112="Exact locator needed",AI112="HAU forum framing; exact target locator needed",AI112="Forum exchange; exact locator needed")),AND(G112&lt;&gt;"NO EVIDENCE",G112&lt;&gt;"NOT APPLICABLE",OR(AK112="",AL112="",AM112="",AN112="",AK112="SYSTEM INFERENCE",AK112="ABSTRACT ONLY",AK112="SECONDARY REPORT",AK112="UNVERIFIED",AM112="Exact locator needed",AM112="HAU forum framing; exact target locator needed",AM112="Forum exchange; exact locator needed"))),"EVIDENCE DEBT","READY")))</x:f>
        <x:v>READY</x:v>
      </x:c>
      <x:c r="AT112" s="77" t="str">
        <x:v>Added in legal, privacy, due-process, and public-shaming expansion.</x:v>
      </x:c>
    </x:row>
    <x:row r="113" ht="50" customHeight="1">
      <x:c r="A113" s="85" t="n">
        <x:v>108</x:v>
      </x:c>
      <x:c r="B113" s="73" t="str">
        <x:v>Active</x:v>
      </x:c>
      <x:c r="C113" s="89" t="n">
        <x:v>6</x:v>
      </x:c>
      <x:c r="D113" s="82" t="str">
        <x:f>IF(C113="","",IFERROR(VLOOKUP(C113,'Database controls'!$A$5:$B$20,2,FALSE),"NEW / UNCATEGORIZED"))</x:f>
        <x:v>Due process, punishment, and procedural limits</x:v>
      </x:c>
      <x:c r="E113" s="73" t="str">
        <x:v>OUTSIDE / EXCOMMUNICABLE</x:v>
      </x:c>
      <x:c r="F113" s="73" t="str">
        <x:v>REJECTS</x:v>
      </x:c>
      <x:c r="G113" s="73" t="str">
        <x:v>REJECTS</x:v>
      </x:c>
      <x:c r="H113" s="82" t="str">
        <x:f>IF(A113="","",IF(OR(F113="REJECTS",G113="REJECTS"),"OUTSIDE / EXCOMMUNICABLE",IF(AND(OR(F113="RETAINS",F113="RETAINS WITH QUALIFICATION"),OR(G113="RETAINS",G113="RETAINS WITH QUALIFICATION")),"INTERNAL GORGONWARS",IF(AND(F113="NOT APPLICABLE",G113="NOT APPLICABLE"),"NOT APPLICABLE","PREMISES UNRESOLVED"))))</x:f>
        <x:v>OUTSIDE / EXCOMMUNICABLE</x:v>
      </x:c>
      <x:c r="I113" s="82" t="str">
        <x:f>IF(A113="","",IF(E113=H113,"OK",IF(AO113&lt;&gt;"","OVERRIDDEN","REVIEW")))</x:f>
        <x:v>OK</x:v>
      </x:c>
      <x:c r="J113" s="73" t="str">
        <x:v>Direct warning against using #MeToo as an unappealable substitute legal system</x:v>
      </x:c>
      <x:c r="K113" s="73" t="str">
        <x:v>Direct #MeToo critique</x:v>
      </x:c>
      <x:c r="L113" s="73" t="str">
        <x:v>Law review article</x:v>
      </x:c>
      <x:c r="M113" s="73" t="str">
        <x:v>Law review / editorial review</x:v>
      </x:c>
      <x:c r="N113" s="89" t="n">
        <x:v>2018</x:v>
      </x:c>
      <x:c r="O113" s="73" t="str">
        <x:v>Mimi Akel</x:v>
      </x:c>
      <x:c r="P113" s="73" t="str">
        <x:v>The Good, the Bad, and the Evils of the #MeToo Movement’s Sexual Harassment Allegations in Today’s Society: A Cautionary Tale Regarding the Cost of These Claims to the Victims, the Accused, and Beyond</x:v>
      </x:c>
      <x:c r="Q113" s="73" t="str">
        <x:v>California Western International Law Journal 49(1):105–137</x:v>
      </x:c>
      <x:c r="R113" s="73" t="str">
        <x:v>English</x:v>
      </x:c>
      <x:c r="S113" s="73" t="str">
        <x:v>#MeToo exposed real abuse, but an accusation cannot become a sentence without evidence, defense, calibration, or appeal.</x:v>
      </x:c>
      <x:c r="T113" s="73" t="str">
        <x:v>Student law-review note using press cases; affirms positive effects of #MeToo and is not peer reviewed.</x:v>
      </x:c>
      <x:c r="U113" s="73" t="str">
        <x:v>Full text verified</x:v>
      </x:c>
      <x:c r="V113" s="73" t="str">
        <x:v>https://scholarlycommons.law.cwsl.edu/cwilj/vol49/iss1/6/</x:v>
      </x:c>
      <x:c r="W113" s="73" t="str"/>
      <x:c r="X113" s="93" t="n">
        <x:v>46230</x:v>
      </x:c>
      <x:c r="Y113" s="93" t="n">
        <x:v>46230</x:v>
      </x:c>
      <x:c r="Z113" s="73" t="str">
        <x:v>Weak-format flag: student note rather than peer-reviewed scholarship.</x:v>
      </x:c>
      <x:c r="AA113" s="73" t="str"/>
      <x:c r="AB113" s="73" t="n">
        <x:v>108</x:v>
      </x:c>
      <x:c r="AC113" s="73" t="str">
        <x:v>DIRECT OUTSIDE CRITIQUE</x:v>
      </x:c>
      <x:c r="AD113" s="73" t="str">
        <x:v>EXPLICIT CRITIQUE</x:v>
      </x:c>
      <x:c r="AE113" s="73" t="str">
        <x:v>YES</x:v>
      </x:c>
      <x:c r="AF113" s="73" t="str">
        <x:v>Social media accusation becoming punishment without evidence, defense, or appeal</x:v>
      </x:c>
      <x:c r="AG113" s="73" t="str">
        <x:v>DIRECT EXPLICIT</x:v>
      </x:c>
      <x:c r="AH113" s="73" t="str">
        <x:v>Quote: “this note attempts to caution society’s use of the #MeToo movement as a replacement for the legal system.”</x:v>
      </x:c>
      <x:c r="AI113" s="73" t="str">
        <x:v>p. 105</x:v>
      </x:c>
      <x:c r="AJ113" s="73" t="str">
        <x:v>https://scholarlycommons.law.cwsl.edu/cwilj/vol49/iss1/6/</x:v>
      </x:c>
      <x:c r="AK113" s="73" t="str">
        <x:v>DIRECT EXPLICIT</x:v>
      </x:c>
      <x:c r="AL113" s="73" t="str">
        <x:v>Quote: a social-media allegation can become “an unappealable final verdict.”</x:v>
      </x:c>
      <x:c r="AM113" s="73" t="str">
        <x:v>p. 123</x:v>
      </x:c>
      <x:c r="AN113" s="73" t="str">
        <x:v>https://scholarlycommons.law.cwsl.edu/cwilj/vol49/iss1/6/</x:v>
      </x:c>
      <x:c r="AO113" s="73" t="str"/>
      <x:c r="AP113" s="73" t="str">
        <x:v>Legal/privacy expansion research pass</x:v>
      </x:c>
      <x:c r="AQ113" s="73" t="str">
        <x:v>GORGONWARS-PREMISE-1.0</x:v>
      </x:c>
      <x:c r="AR113" s="73" t="str"/>
      <x:c r="AS113" s="82" t="str">
        <x:f>IF(A113="","",IF(OR(E113="NOT APPLICABLE",E113="PREMISES UNRESOLVED"),"N/A",IF(OR(AND(F113&lt;&gt;"NO EVIDENCE",F113&lt;&gt;"NOT APPLICABLE",OR(AG113="",AH113="",AI113="",AJ113="",AG113="SYSTEM INFERENCE",AG113="ABSTRACT ONLY",AG113="SECONDARY REPORT",AG113="UNVERIFIED",AI113="Exact locator needed",AI113="HAU forum framing; exact target locator needed",AI113="Forum exchange; exact locator needed")),AND(G113&lt;&gt;"NO EVIDENCE",G113&lt;&gt;"NOT APPLICABLE",OR(AK113="",AL113="",AM113="",AN113="",AK113="SYSTEM INFERENCE",AK113="ABSTRACT ONLY",AK113="SECONDARY REPORT",AK113="UNVERIFIED",AM113="Exact locator needed",AM113="HAU forum framing; exact target locator needed",AM113="Forum exchange; exact locator needed"))),"EVIDENCE DEBT","READY")))</x:f>
        <x:v>READY</x:v>
      </x:c>
      <x:c r="AT113" s="74" t="str">
        <x:v>Added in legal, privacy, due-process, and public-shaming expansion.</x:v>
      </x:c>
    </x:row>
    <x:row r="114" ht="50" customHeight="1">
      <x:c r="A114" s="86" t="n">
        <x:v>109</x:v>
      </x:c>
      <x:c r="B114" s="76" t="str">
        <x:v>Active</x:v>
      </x:c>
      <x:c r="C114" s="90" t="n">
        <x:v>6</x:v>
      </x:c>
      <x:c r="D114" s="82" t="str">
        <x:f>IF(C114="","",IFERROR(VLOOKUP(C114,'Database controls'!$A$5:$B$20,2,FALSE),"NEW / UNCATEGORIZED"))</x:f>
        <x:v>Due process, punishment, and procedural limits</x:v>
      </x:c>
      <x:c r="E114" s="76" t="str">
        <x:v>OUTSIDE / EXCOMMUNICABLE</x:v>
      </x:c>
      <x:c r="F114" s="76" t="str">
        <x:v>REJECTS</x:v>
      </x:c>
      <x:c r="G114" s="76" t="str">
        <x:v>REJECTS</x:v>
      </x:c>
      <x:c r="H114" s="82" t="str">
        <x:f>IF(A114="","",IF(OR(F114="REJECTS",G114="REJECTS"),"OUTSIDE / EXCOMMUNICABLE",IF(AND(OR(F114="RETAINS",F114="RETAINS WITH QUALIFICATION"),OR(G114="RETAINS",G114="RETAINS WITH QUALIFICATION")),"INTERNAL GORGONWARS",IF(AND(F114="NOT APPLICABLE",G114="NOT APPLICABLE"),"NOT APPLICABLE","PREMISES UNRESOLVED"))))</x:f>
        <x:v>OUTSIDE / EXCOMMUNICABLE</x:v>
      </x:c>
      <x:c r="I114" s="82" t="str">
        <x:f>IF(A114="","",IF(E114=H114,"OK",IF(AO114&lt;&gt;"","OVERRIDDEN","REVIEW")))</x:f>
        <x:v>OK</x:v>
      </x:c>
      <x:c r="J114" s="76" t="str">
        <x:v>Short direct commentary on #MeToo’s exposure and false-targeting risks</x:v>
      </x:c>
      <x:c r="K114" s="76" t="str">
        <x:v>Direct #MeToo critique</x:v>
      </x:c>
      <x:c r="L114" s="76" t="str">
        <x:v>Academic forum / editorial</x:v>
      </x:c>
      <x:c r="M114" s="76" t="str">
        <x:v>Academic forum / editorial</x:v>
      </x:c>
      <x:c r="N114" s="90" t="n">
        <x:v>2024</x:v>
      </x:c>
      <x:c r="O114" s="76" t="str">
        <x:v>John Scott Lewinski</x:v>
      </x:c>
      <x:c r="P114" s="76" t="str">
        <x:v>Me Too’s two sides</x:v>
      </x:c>
      <x:c r="Q114" s="76" t="str">
        <x:v>Index on Censorship 53(2):90–91</x:v>
      </x:c>
      <x:c r="R114" s="76" t="str">
        <x:v>English</x:v>
      </x:c>
      <x:c r="S114" s="76" t="str">
        <x:v>#MeToo can expose abuse and also permanently marginalize people whom an evidence-free accusation wrongly targets.</x:v>
      </x:c>
      <x:c r="T114" s="76" t="str">
        <x:v>Two-page academic-journal commentary/interview rather than a research article.</x:v>
      </x:c>
      <x:c r="U114" s="76" t="str">
        <x:v>Full text verified</x:v>
      </x:c>
      <x:c r="V114" s="76" t="str">
        <x:v>https://journals.sagepub.com/doi/full/10.1177/03064220241274943</x:v>
      </x:c>
      <x:c r="W114" s="76" t="str">
        <x:v>10.1177/03064220241274943</x:v>
      </x:c>
      <x:c r="X114" s="94" t="n">
        <x:v>46230</x:v>
      </x:c>
      <x:c r="Y114" s="94" t="n">
        <x:v>46230</x:v>
      </x:c>
      <x:c r="Z114" s="76" t="str">
        <x:v>Weak-format flag: only two pages and journalistic in form.</x:v>
      </x:c>
      <x:c r="AA114" s="76" t="str"/>
      <x:c r="AB114" s="76" t="n">
        <x:v>109</x:v>
      </x:c>
      <x:c r="AC114" s="76" t="str">
        <x:v>DIRECT OUTSIDE CRITIQUE</x:v>
      </x:c>
      <x:c r="AD114" s="76" t="str">
        <x:v>MIXED / QUALIFIED CRITIQUE</x:v>
      </x:c>
      <x:c r="AE114" s="76" t="str">
        <x:v>YES</x:v>
      </x:c>
      <x:c r="AF114" s="76" t="str">
        <x:v>Branding alleged perpetrators when no evidence exists beyond accusation</x:v>
      </x:c>
      <x:c r="AG114" s="76" t="str">
        <x:v>DIRECT EXPLICIT</x:v>
      </x:c>
      <x:c r="AH114" s="76" t="str">
        <x:v>Quote: #MeToo can “brand other alleged perpetrators without giving them the opportunity to defend their presumed innocence.”</x:v>
      </x:c>
      <x:c r="AI114" s="76" t="str">
        <x:v>Body</x:v>
      </x:c>
      <x:c r="AJ114" s="76" t="str">
        <x:v>https://journals.sagepub.com/doi/full/10.1177/03064220241274943</x:v>
      </x:c>
      <x:c r="AK114" s="76" t="str">
        <x:v>DIRECT EXPLICIT</x:v>
      </x:c>
      <x:c r="AL114" s="76" t="str">
        <x:v>Quote: some were “not charged officially and there may be no evidence beyond accusations.”</x:v>
      </x:c>
      <x:c r="AM114" s="76" t="str">
        <x:v>Body</x:v>
      </x:c>
      <x:c r="AN114" s="76" t="str">
        <x:v>https://journals.sagepub.com/doi/full/10.1177/03064220241274943</x:v>
      </x:c>
      <x:c r="AO114" s="76" t="str"/>
      <x:c r="AP114" s="76" t="str">
        <x:v>Legal/privacy expansion research pass</x:v>
      </x:c>
      <x:c r="AQ114" s="76" t="str">
        <x:v>GORGONWARS-PREMISE-1.0</x:v>
      </x:c>
      <x:c r="AR114" s="76" t="str"/>
      <x:c r="AS114" s="82" t="str">
        <x:f>IF(A114="","",IF(OR(E114="NOT APPLICABLE",E114="PREMISES UNRESOLVED"),"N/A",IF(OR(AND(F114&lt;&gt;"NO EVIDENCE",F114&lt;&gt;"NOT APPLICABLE",OR(AG114="",AH114="",AI114="",AJ114="",AG114="SYSTEM INFERENCE",AG114="ABSTRACT ONLY",AG114="SECONDARY REPORT",AG114="UNVERIFIED",AI114="Exact locator needed",AI114="HAU forum framing; exact target locator needed",AI114="Forum exchange; exact locator needed")),AND(G114&lt;&gt;"NO EVIDENCE",G114&lt;&gt;"NOT APPLICABLE",OR(AK114="",AL114="",AM114="",AN114="",AK114="SYSTEM INFERENCE",AK114="ABSTRACT ONLY",AK114="SECONDARY REPORT",AK114="UNVERIFIED",AM114="Exact locator needed",AM114="HAU forum framing; exact target locator needed",AM114="Forum exchange; exact locator needed"))),"EVIDENCE DEBT","READY")))</x:f>
        <x:v>READY</x:v>
      </x:c>
      <x:c r="AT114" s="77" t="str">
        <x:v>Added in legal, privacy, due-process, and public-shaming expansion.</x:v>
      </x:c>
    </x:row>
    <x:row r="115" ht="50" customHeight="1">
      <x:c r="A115" s="85" t="n">
        <x:v>110</x:v>
      </x:c>
      <x:c r="B115" s="73" t="str">
        <x:v>Active</x:v>
      </x:c>
      <x:c r="C115" s="89" t="n">
        <x:v>6</x:v>
      </x:c>
      <x:c r="D115" s="82" t="str">
        <x:f>IF(C115="","",IFERROR(VLOOKUP(C115,'Database controls'!$A$5:$B$20,2,FALSE),"NEW / UNCATEGORIZED"))</x:f>
        <x:v>Due process, punishment, and procedural limits</x:v>
      </x:c>
      <x:c r="E115" s="73" t="str">
        <x:v>OUTSIDE / EXCOMMUNICABLE</x:v>
      </x:c>
      <x:c r="F115" s="73" t="str">
        <x:v>REJECTS</x:v>
      </x:c>
      <x:c r="G115" s="73" t="str">
        <x:v>REJECTS</x:v>
      </x:c>
      <x:c r="H115" s="82" t="str">
        <x:f>IF(A115="","",IF(OR(F115="REJECTS",G115="REJECTS"),"OUTSIDE / EXCOMMUNICABLE",IF(AND(OR(F115="RETAINS",F115="RETAINS WITH QUALIFICATION"),OR(G115="RETAINS",G115="RETAINS WITH QUALIFICATION")),"INTERNAL GORGONWARS",IF(AND(F115="NOT APPLICABLE",G115="NOT APPLICABLE"),"NOT APPLICABLE","PREMISES UNRESOLVED"))))</x:f>
        <x:v>OUTSIDE / EXCOMMUNICABLE</x:v>
      </x:c>
      <x:c r="I115" s="82" t="str">
        <x:f>IF(A115="","",IF(E115=H115,"OK",IF(AO115&lt;&gt;"","OVERRIDDEN","REVIEW")))</x:f>
        <x:v>OK</x:v>
      </x:c>
      <x:c r="J115" s="73" t="str">
        <x:v>Direct qualified critique of trial-by-media and uninvestigated allegations</x:v>
      </x:c>
      <x:c r="K115" s="73" t="str">
        <x:v>Direct #MeToo critique</x:v>
      </x:c>
      <x:c r="L115" s="73" t="str">
        <x:v>Academic forum / editorial</x:v>
      </x:c>
      <x:c r="M115" s="73" t="str">
        <x:v>Academic forum / editorial</x:v>
      </x:c>
      <x:c r="N115" s="89" t="n">
        <x:v>2019</x:v>
      </x:c>
      <x:c r="O115" s="73" t="str">
        <x:v>Rajiv Gupta, Arunima Gupta, and Dharmender Nehra</x:v>
      </x:c>
      <x:c r="P115" s="73" t="str">
        <x:v>Going Forward with #MeToo Movement: Towards a Safer Work Environment</x:v>
      </x:c>
      <x:c r="Q115" s="73" t="str">
        <x:v>Journal of Psychosexual Health 1(2)</x:v>
      </x:c>
      <x:c r="R115" s="73" t="str">
        <x:v>English</x:v>
      </x:c>
      <x:c r="S115" s="73" t="str">
        <x:v>A safer workplace needs serious investigation of every disclosure, not instant social conviction—and proven false charges also require accountability.</x:v>
      </x:c>
      <x:c r="T115" s="73" t="str">
        <x:v>Supports the movement overall; likely commentary rather than a full empirical research article.</x:v>
      </x:c>
      <x:c r="U115" s="73" t="str">
        <x:v>Full text verified</x:v>
      </x:c>
      <x:c r="V115" s="73" t="str">
        <x:v>https://journals.sagepub.com/doi/10.1177/2631831819862087</x:v>
      </x:c>
      <x:c r="W115" s="73" t="str">
        <x:v>10.1177/2631831819862087</x:v>
      </x:c>
      <x:c r="X115" s="93" t="n">
        <x:v>46230</x:v>
      </x:c>
      <x:c r="Y115" s="93" t="n">
        <x:v>46230</x:v>
      </x:c>
      <x:c r="Z115" s="73" t="str"/>
      <x:c r="AA115" s="73" t="str"/>
      <x:c r="AB115" s="73" t="n">
        <x:v>110</x:v>
      </x:c>
      <x:c r="AC115" s="73" t="str">
        <x:v>DIRECT OUTSIDE CRITIQUE</x:v>
      </x:c>
      <x:c r="AD115" s="73" t="str">
        <x:v>MIXED / QUALIFIED CRITIQUE</x:v>
      </x:c>
      <x:c r="AE115" s="73" t="str">
        <x:v>YES</x:v>
      </x:c>
      <x:c r="AF115" s="73" t="str">
        <x:v>Trial by media and belief without detailed investigation</x:v>
      </x:c>
      <x:c r="AG115" s="73" t="str">
        <x:v>DIRECT EXPLICIT</x:v>
      </x:c>
      <x:c r="AH115" s="73" t="str">
        <x:v>Quote: alleged persons were “‘blamed and shamed’ before getting a chance to defend themselves and having an opportunity of a fair trial.”</x:v>
      </x:c>
      <x:c r="AI115" s="73" t="str">
        <x:v>Section “Bad”</x:v>
      </x:c>
      <x:c r="AJ115" s="73" t="str">
        <x:v>https://journals.sagepub.com/doi/10.1177/2631831819862087</x:v>
      </x:c>
      <x:c r="AK115" s="73" t="str">
        <x:v>DIRECT EXPLICIT</x:v>
      </x:c>
      <x:c r="AL115" s="73" t="str">
        <x:v>Quote: “Every divulgence of sexual abuse must be taken seriously and investigated in detail.”</x:v>
      </x:c>
      <x:c r="AM115" s="73" t="str">
        <x:v>Section “Bad”</x:v>
      </x:c>
      <x:c r="AN115" s="73" t="str">
        <x:v>https://journals.sagepub.com/doi/10.1177/2631831819862087</x:v>
      </x:c>
      <x:c r="AO115" s="73" t="str"/>
      <x:c r="AP115" s="73" t="str">
        <x:v>Legal/privacy expansion research pass</x:v>
      </x:c>
      <x:c r="AQ115" s="73" t="str">
        <x:v>GORGONWARS-PREMISE-1.0</x:v>
      </x:c>
      <x:c r="AR115" s="73" t="str"/>
      <x:c r="AS115" s="82" t="str">
        <x:f>IF(A115="","",IF(OR(E115="NOT APPLICABLE",E115="PREMISES UNRESOLVED"),"N/A",IF(OR(AND(F115&lt;&gt;"NO EVIDENCE",F115&lt;&gt;"NOT APPLICABLE",OR(AG115="",AH115="",AI115="",AJ115="",AG115="SYSTEM INFERENCE",AG115="ABSTRACT ONLY",AG115="SECONDARY REPORT",AG115="UNVERIFIED",AI115="Exact locator needed",AI115="HAU forum framing; exact target locator needed",AI115="Forum exchange; exact locator needed")),AND(G115&lt;&gt;"NO EVIDENCE",G115&lt;&gt;"NOT APPLICABLE",OR(AK115="",AL115="",AM115="",AN115="",AK115="SYSTEM INFERENCE",AK115="ABSTRACT ONLY",AK115="SECONDARY REPORT",AK115="UNVERIFIED",AM115="Exact locator needed",AM115="HAU forum framing; exact target locator needed",AM115="Forum exchange; exact locator needed"))),"EVIDENCE DEBT","READY")))</x:f>
        <x:v>READY</x:v>
      </x:c>
      <x:c r="AT115" s="74" t="str">
        <x:v>Added in legal, privacy, due-process, and public-shaming expansion.</x:v>
      </x:c>
    </x:row>
    <x:row r="116" ht="50" customHeight="1">
      <x:c r="A116" s="86" t="n">
        <x:v>111</x:v>
      </x:c>
      <x:c r="B116" s="76" t="str">
        <x:v>Provisional</x:v>
      </x:c>
      <x:c r="C116" s="90" t="n">
        <x:v>6</x:v>
      </x:c>
      <x:c r="D116" s="82" t="str">
        <x:f>IF(C116="","",IFERROR(VLOOKUP(C116,'Database controls'!$A$5:$B$20,2,FALSE),"NEW / UNCATEGORIZED"))</x:f>
        <x:v>Due process, punishment, and procedural limits</x:v>
      </x:c>
      <x:c r="E116" s="76" t="str">
        <x:v>OUTSIDE / EXCOMMUNICABLE</x:v>
      </x:c>
      <x:c r="F116" s="76" t="str">
        <x:v>REJECTS</x:v>
      </x:c>
      <x:c r="G116" s="76" t="str">
        <x:v>NO EVIDENCE</x:v>
      </x:c>
      <x:c r="H116" s="82" t="str">
        <x:f>IF(A116="","",IF(OR(F116="REJECTS",G116="REJECTS"),"OUTSIDE / EXCOMMUNICABLE",IF(AND(OR(F116="RETAINS",F116="RETAINS WITH QUALIFICATION"),OR(G116="RETAINS",G116="RETAINS WITH QUALIFICATION")),"INTERNAL GORGONWARS",IF(AND(F116="NOT APPLICABLE",G116="NOT APPLICABLE"),"NOT APPLICABLE","PREMISES UNRESOLVED"))))</x:f>
        <x:v>OUTSIDE / EXCOMMUNICABLE</x:v>
      </x:c>
      <x:c r="I116" s="82" t="str">
        <x:f>IF(A116="","",IF(E116=H116,"OK",IF(AO116&lt;&gt;"","OVERRIDDEN","REVIEW")))</x:f>
        <x:v>OK</x:v>
      </x:c>
      <x:c r="J116" s="76" t="str">
        <x:v>Direct empirical-ethical assessment of e-shaming inside Dutch #MeToo</x:v>
      </x:c>
      <x:c r="K116" s="76" t="str">
        <x:v>Direct #MeToo critique</x:v>
      </x:c>
      <x:c r="L116" s="76" t="str">
        <x:v>Peer-reviewed journal article</x:v>
      </x:c>
      <x:c r="M116" s="76" t="str">
        <x:v>Peer-reviewed</x:v>
      </x:c>
      <x:c r="N116" s="90" t="n">
        <x:v>2022</x:v>
      </x:c>
      <x:c r="O116" s="76" t="str">
        <x:v>Chantal van den Berg and Marleen Gorissen</x:v>
      </x:c>
      <x:c r="P116" s="76" t="str">
        <x:v>Slachtofferschap, e-shaming en #MeToo: een onderzoek naar de rol van e-shaming binnen de Nederlandse #MeToo-beweging</x:v>
      </x:c>
      <x:c r="Q116" s="76" t="str">
        <x:v>Justitiële Verkenningen 48(4):46–59</x:v>
      </x:c>
      <x:c r="R116" s="76" t="str">
        <x:v>English</x:v>
      </x:c>
      <x:c r="S116" s="76" t="str">
        <x:v>Even if Dutch #MeToo e-shaming is rare and its measured harms limited, the practice remains ethically wrongful.</x:v>
      </x:c>
      <x:c r="T116" s="76" t="str">
        <x:v>The study finds very limited prevalence and consequences and does not attack testimony or #MeToo generally.</x:v>
      </x:c>
      <x:c r="U116" s="76" t="str">
        <x:v>Abstract only</x:v>
      </x:c>
      <x:c r="V116" s="76" t="str">
        <x:v>https://doi.org/10.5553/JV/016758502022008004005</x:v>
      </x:c>
      <x:c r="W116" s="76" t="str">
        <x:v>10.5553/JV/016758502022008004005</x:v>
      </x:c>
      <x:c r="X116" s="94" t="n">
        <x:v>46230</x:v>
      </x:c>
      <x:c r="Y116" s="94" t="n">
        <x:v>46230</x:v>
      </x:c>
      <x:c r="Z116" s="76" t="str"/>
      <x:c r="AA116" s="76" t="str"/>
      <x:c r="AB116" s="76" t="n">
        <x:v>111</x:v>
      </x:c>
      <x:c r="AC116" s="76" t="str">
        <x:v>DIRECT OUTSIDE CRITIQUE</x:v>
      </x:c>
      <x:c r="AD116" s="76" t="str">
        <x:v>MIXED / QUALIFIED CRITIQUE</x:v>
      </x:c>
      <x:c r="AE116" s="76" t="str">
        <x:v>YES</x:v>
      </x:c>
      <x:c r="AF116" s="76" t="str">
        <x:v>E-shaming as an ethically permissible #MeToo tactic</x:v>
      </x:c>
      <x:c r="AG116" s="76" t="str">
        <x:v>ABSTRACT ONLY</x:v>
      </x:c>
      <x:c r="AH116" s="76" t="str">
        <x:v>Quote from English abstract: “e-shaming in the Netherlands is still problematic on an ethical level.”</x:v>
      </x:c>
      <x:c r="AI116" s="76" t="str">
        <x:v>Abstract</x:v>
      </x:c>
      <x:c r="AJ116" s="76" t="str">
        <x:v>https://doi.org/10.5553/JV/016758502022008004005</x:v>
      </x:c>
      <x:c r="AK116" s="76" t="str">
        <x:v>NO EVIDENCE</x:v>
      </x:c>
      <x:c r="AL116" s="76" t="str"/>
      <x:c r="AM116" s="76" t="str"/>
      <x:c r="AN116" s="76" t="str"/>
      <x:c r="AO116" s="76" t="str"/>
      <x:c r="AP116" s="76" t="str">
        <x:v>Legal/privacy expansion research pass</x:v>
      </x:c>
      <x:c r="AQ116" s="76" t="str">
        <x:v>GORGONWARS-PREMISE-1.0</x:v>
      </x:c>
      <x:c r="AR116" s="76" t="str"/>
      <x:c r="AS116" s="82" t="str">
        <x:f>IF(A116="","",IF(OR(E116="NOT APPLICABLE",E116="PREMISES UNRESOLVED"),"N/A",IF(OR(AND(F116&lt;&gt;"NO EVIDENCE",F116&lt;&gt;"NOT APPLICABLE",OR(AG116="",AH116="",AI116="",AJ116="",AG116="SYSTEM INFERENCE",AG116="ABSTRACT ONLY",AG116="SECONDARY REPORT",AG116="UNVERIFIED",AI116="Exact locator needed",AI116="HAU forum framing; exact target locator needed",AI116="Forum exchange; exact locator needed")),AND(G116&lt;&gt;"NO EVIDENCE",G116&lt;&gt;"NOT APPLICABLE",OR(AK116="",AL116="",AM116="",AN116="",AK116="SYSTEM INFERENCE",AK116="ABSTRACT ONLY",AK116="SECONDARY REPORT",AK116="UNVERIFIED",AM116="Exact locator needed",AM116="HAU forum framing; exact target locator needed",AM116="Forum exchange; exact locator needed"))),"EVIDENCE DEBT","READY")))</x:f>
        <x:v>EVIDENCE DEBT</x:v>
      </x:c>
      <x:c r="AT116" s="77" t="str">
        <x:v>Added in legal, privacy, due-process, and public-shaming expansion.</x:v>
      </x:c>
    </x:row>
    <x:row r="117" ht="50" customHeight="1">
      <x:c r="A117" s="85" t="n">
        <x:v>112</x:v>
      </x:c>
      <x:c r="B117" s="73" t="str">
        <x:v>Provisional</x:v>
      </x:c>
      <x:c r="C117" s="89" t="n">
        <x:v>6</x:v>
      </x:c>
      <x:c r="D117" s="82" t="str">
        <x:f>IF(C117="","",IFERROR(VLOOKUP(C117,'Database controls'!$A$5:$B$20,2,FALSE),"NEW / UNCATEGORIZED"))</x:f>
        <x:v>Due process, punishment, and procedural limits</x:v>
      </x:c>
      <x:c r="E117" s="73" t="str">
        <x:v>OUTSIDE / EXCOMMUNICABLE</x:v>
      </x:c>
      <x:c r="F117" s="73" t="str">
        <x:v>REJECTS</x:v>
      </x:c>
      <x:c r="G117" s="73" t="str">
        <x:v>REJECTS</x:v>
      </x:c>
      <x:c r="H117" s="82" t="str">
        <x:f>IF(A117="","",IF(OR(F117="REJECTS",G117="REJECTS"),"OUTSIDE / EXCOMMUNICABLE",IF(AND(OR(F117="RETAINS",F117="RETAINS WITH QUALIFICATION"),OR(G117="RETAINS",G117="RETAINS WITH QUALIFICATION")),"INTERNAL GORGONWARS",IF(AND(F117="NOT APPLICABLE",G117="NOT APPLICABLE"),"NOT APPLICABLE","PREMISES UNRESOLVED"))))</x:f>
        <x:v>OUTSIDE / EXCOMMUNICABLE</x:v>
      </x:c>
      <x:c r="I117" s="82" t="str">
        <x:f>IF(A117="","",IF(E117=H117,"OK",IF(AO117&lt;&gt;"","OVERRIDDEN","REVIEW")))</x:f>
        <x:v>OK</x:v>
      </x:c>
      <x:c r="J117" s="73" t="str">
        <x:v>Direct audit of anonymous reports, hearsay, guilt by association, and trial by media</x:v>
      </x:c>
      <x:c r="K117" s="73" t="str">
        <x:v>Direct #MeToo critique</x:v>
      </x:c>
      <x:c r="L117" s="73" t="str">
        <x:v>Peer-reviewed journal article</x:v>
      </x:c>
      <x:c r="M117" s="73" t="str">
        <x:v>Peer-reviewed</x:v>
      </x:c>
      <x:c r="N117" s="89" t="n">
        <x:v>2022</x:v>
      </x:c>
      <x:c r="O117" s="73" t="str">
        <x:v>Marjan Olfers and Anton van Wijk</x:v>
      </x:c>
      <x:c r="P117" s="73" t="str">
        <x:v>Uit de praktijk: de schaduwkanten van de #MeToo-beweging</x:v>
      </x:c>
      <x:c r="Q117" s="73" t="str">
        <x:v>Justitiële Verkenningen 48(4):21–33</x:v>
      </x:c>
      <x:c r="R117" s="73" t="str">
        <x:v>English</x:v>
      </x:c>
      <x:c r="S117" s="73" t="str">
        <x:v>#MeToo’s net good does not excuse vague standards, hearsay, guilt by association, or investigations that do not fairly hear both sides.</x:v>
      </x:c>
      <x:c r="T117" s="73" t="str">
        <x:v>The authors say the movement’s impact is mostly positive; the source rejects procedural and credibility shortcuts rather than the entire movement.</x:v>
      </x:c>
      <x:c r="U117" s="73" t="str">
        <x:v>Source record verified</x:v>
      </x:c>
      <x:c r="V117" s="73" t="str">
        <x:v>https://research.vu.nl/en/publications/uit-de-praktijk-de-schaduwkanten-van-de-metoo-beweging/</x:v>
      </x:c>
      <x:c r="W117" s="73" t="str">
        <x:v>10.5553/JV/016758502022008004003</x:v>
      </x:c>
      <x:c r="X117" s="93" t="n">
        <x:v>46230</x:v>
      </x:c>
      <x:c r="Y117" s="93" t="n">
        <x:v>46230</x:v>
      </x:c>
      <x:c r="Z117" s="73" t="str"/>
      <x:c r="AA117" s="73" t="str"/>
      <x:c r="AB117" s="73" t="n">
        <x:v>112</x:v>
      </x:c>
      <x:c r="AC117" s="73" t="str">
        <x:v>DIRECT OUTSIDE CRITIQUE</x:v>
      </x:c>
      <x:c r="AD117" s="73" t="str">
        <x:v>MIXED / QUALIFIED CRITIQUE</x:v>
      </x:c>
      <x:c r="AE117" s="73" t="str">
        <x:v>YES</x:v>
      </x:c>
      <x:c r="AF117" s="73" t="str">
        <x:v>Unclear standards, anonymous or hearsay reports, guilt by association, and trial by media</x:v>
      </x:c>
      <x:c r="AG117" s="73" t="str">
        <x:v>DIRECT ENTAILMENT</x:v>
      </x:c>
      <x:c r="AH117" s="73" t="str">
        <x:v>Paraphrase from the author abstract: “guilty by association” and “trial by media” are dark sides that can compromise the accused.</x:v>
      </x:c>
      <x:c r="AI117" s="73" t="str">
        <x:v>Abstract and pp. 21–33</x:v>
      </x:c>
      <x:c r="AJ117" s="73" t="str">
        <x:v>https://research.vu.nl/en/publications/uit-de-praktijk-de-schaduwkanten-van-de-metoo-beweging/</x:v>
      </x:c>
      <x:c r="AK117" s="73" t="str">
        <x:v>DIRECT ENTAILMENT</x:v>
      </x:c>
      <x:c r="AL117" s="73" t="str">
        <x:v>Paraphrase from the author abstract: misleading or false reports, anonymous reports, and hearsay require careful investigation and room for both sides.</x:v>
      </x:c>
      <x:c r="AM117" s="73" t="str">
        <x:v>Abstract and pp. 21–33</x:v>
      </x:c>
      <x:c r="AN117" s="73" t="str">
        <x:v>https://research.vu.nl/en/publications/uit-de-praktijk-de-schaduwkanten-van-de-metoo-beweging/</x:v>
      </x:c>
      <x:c r="AO117" s="73" t="str"/>
      <x:c r="AP117" s="73" t="str">
        <x:v>Legal/privacy expansion research pass</x:v>
      </x:c>
      <x:c r="AQ117" s="73" t="str">
        <x:v>GORGONWARS-PREMISE-1.0</x:v>
      </x:c>
      <x:c r="AR117" s="73" t="str"/>
      <x:c r="AS117" s="82" t="str">
        <x:f>IF(A117="","",IF(OR(E117="NOT APPLICABLE",E117="PREMISES UNRESOLVED"),"N/A",IF(OR(AND(F117&lt;&gt;"NO EVIDENCE",F117&lt;&gt;"NOT APPLICABLE",OR(AG117="",AH117="",AI117="",AJ117="",AG117="SYSTEM INFERENCE",AG117="ABSTRACT ONLY",AG117="SECONDARY REPORT",AG117="UNVERIFIED",AI117="Exact locator needed",AI117="HAU forum framing; exact target locator needed",AI117="Forum exchange; exact locator needed")),AND(G117&lt;&gt;"NO EVIDENCE",G117&lt;&gt;"NOT APPLICABLE",OR(AK117="",AL117="",AM117="",AN117="",AK117="SYSTEM INFERENCE",AK117="ABSTRACT ONLY",AK117="SECONDARY REPORT",AK117="UNVERIFIED",AM117="Exact locator needed",AM117="HAU forum framing; exact target locator needed",AM117="Forum exchange; exact locator needed"))),"EVIDENCE DEBT","READY")))</x:f>
        <x:v>READY</x:v>
      </x:c>
      <x:c r="AT117" s="74" t="str">
        <x:v>Added in legal, privacy, due-process, and public-shaming expansion.</x:v>
      </x:c>
    </x:row>
    <x:row r="118" ht="50" customHeight="1">
      <x:c r="A118" s="86" t="n">
        <x:v>113</x:v>
      </x:c>
      <x:c r="B118" s="76" t="str">
        <x:v>Active</x:v>
      </x:c>
      <x:c r="C118" s="90" t="n">
        <x:v>6</x:v>
      </x:c>
      <x:c r="D118" s="82" t="str">
        <x:f>IF(C118="","",IFERROR(VLOOKUP(C118,'Database controls'!$A$5:$B$20,2,FALSE),"NEW / UNCATEGORIZED"))</x:f>
        <x:v>Due process, punishment, and procedural limits</x:v>
      </x:c>
      <x:c r="E118" s="76" t="str">
        <x:v>OUTSIDE / EXCOMMUNICABLE</x:v>
      </x:c>
      <x:c r="F118" s="76" t="str">
        <x:v>REJECTS</x:v>
      </x:c>
      <x:c r="G118" s="76" t="str">
        <x:v>NO EVIDENCE</x:v>
      </x:c>
      <x:c r="H118" s="82" t="str">
        <x:f>IF(A118="","",IF(OR(F118="REJECTS",G118="REJECTS"),"OUTSIDE / EXCOMMUNICABLE",IF(AND(OR(F118="RETAINS",F118="RETAINS WITH QUALIFICATION"),OR(G118="RETAINS",G118="RETAINS WITH QUALIFICATION")),"INTERNAL GORGONWARS",IF(AND(F118="NOT APPLICABLE",G118="NOT APPLICABLE"),"NOT APPLICABLE","PREMISES UNRESOLVED"))))</x:f>
        <x:v>OUTSIDE / EXCOMMUNICABLE</x:v>
      </x:c>
      <x:c r="I118" s="82" t="str">
        <x:f>IF(A118="","",IF(E118=H118,"OK",IF(AO118&lt;&gt;"","OVERRIDDEN","REVIEW")))</x:f>
        <x:v>OK</x:v>
      </x:c>
      <x:c r="J118" s="76" t="str">
        <x:v>Direct treatment and reintegration critique of #MeToo publicity</x:v>
      </x:c>
      <x:c r="K118" s="76" t="str">
        <x:v>Direct #MeToo critique</x:v>
      </x:c>
      <x:c r="L118" s="76" t="str">
        <x:v>Peer-reviewed journal article</x:v>
      </x:c>
      <x:c r="M118" s="76" t="str">
        <x:v>Peer-reviewed</x:v>
      </x:c>
      <x:c r="N118" s="90" t="n">
        <x:v>2022</x:v>
      </x:c>
      <x:c r="O118" s="76" t="str">
        <x:v>Eveline E. Schippers, Larissa M. Hoogsteder, and Nienke Sweers</x:v>
      </x:c>
      <x:c r="P118" s="76" t="str">
        <x:v>Wat betekent #MeToo voor de behandeling en positie van plegers van seksueel grensoverschrijdend gedrag?</x:v>
      </x:c>
      <x:c r="Q118" s="76" t="str">
        <x:v>Justitiële Verkenningen 48(4):33–45</x:v>
      </x:c>
      <x:c r="R118" s="76" t="str">
        <x:v>English</x:v>
      </x:c>
      <x:c r="S118" s="76" t="str">
        <x:v>Public condemnation can worsen risk factors and sabotage treatment and reintegration, so accountability must be objective and proportionate.</x:v>
      </x:c>
      <x:c r="T118" s="76" t="str">
        <x:v>Focuses on offenders’ treatment and reintegration; does not reject public discussion or complainant testimony.</x:v>
      </x:c>
      <x:c r="U118" s="76" t="str">
        <x:v>Full text verified</x:v>
      </x:c>
      <x:c r="V118" s="76" t="str">
        <x:v>https://doi.org/10.5553/JV/016758502022008004004</x:v>
      </x:c>
      <x:c r="W118" s="76" t="str">
        <x:v>10.5553/JV/016758502022008004004</x:v>
      </x:c>
      <x:c r="X118" s="94" t="n">
        <x:v>46230</x:v>
      </x:c>
      <x:c r="Y118" s="94" t="n">
        <x:v>46230</x:v>
      </x:c>
      <x:c r="Z118" s="76" t="str"/>
      <x:c r="AA118" s="76" t="str"/>
      <x:c r="AB118" s="76" t="n">
        <x:v>113</x:v>
      </x:c>
      <x:c r="AC118" s="76" t="str">
        <x:v>DIRECT OUTSIDE CRITIQUE</x:v>
      </x:c>
      <x:c r="AD118" s="76" t="str">
        <x:v>MIXED / QUALIFIED CRITIQUE</x:v>
      </x:c>
      <x:c r="AE118" s="76" t="str">
        <x:v>YES</x:v>
      </x:c>
      <x:c r="AF118" s="76" t="str">
        <x:v>Public condemnation that increases isolation and undermines treatment and reintegration</x:v>
      </x:c>
      <x:c r="AG118" s="76" t="str">
        <x:v>DIRECT EXPLICIT</x:v>
      </x:c>
      <x:c r="AH118" s="76" t="str">
        <x:v>Quote from English abstract: “publicity and public condemnation … can also be damaging, because they increase social isolation, loneliness and stress.”</x:v>
      </x:c>
      <x:c r="AI118" s="76" t="str">
        <x:v>Abstract; fuller discussion p. 40</x:v>
      </x:c>
      <x:c r="AJ118" s="76" t="str">
        <x:v>https://doi.org/10.5553/JV/016758502022008004004</x:v>
      </x:c>
      <x:c r="AK118" s="76" t="str">
        <x:v>NO EVIDENCE</x:v>
      </x:c>
      <x:c r="AL118" s="76" t="str"/>
      <x:c r="AM118" s="76" t="str"/>
      <x:c r="AN118" s="76" t="str"/>
      <x:c r="AO118" s="76" t="str"/>
      <x:c r="AP118" s="76" t="str">
        <x:v>Legal/privacy expansion research pass</x:v>
      </x:c>
      <x:c r="AQ118" s="76" t="str">
        <x:v>GORGONWARS-PREMISE-1.0</x:v>
      </x:c>
      <x:c r="AR118" s="76" t="str"/>
      <x:c r="AS118" s="82" t="str">
        <x:f>IF(A118="","",IF(OR(E118="NOT APPLICABLE",E118="PREMISES UNRESOLVED"),"N/A",IF(OR(AND(F118&lt;&gt;"NO EVIDENCE",F118&lt;&gt;"NOT APPLICABLE",OR(AG118="",AH118="",AI118="",AJ118="",AG118="SYSTEM INFERENCE",AG118="ABSTRACT ONLY",AG118="SECONDARY REPORT",AG118="UNVERIFIED",AI118="Exact locator needed",AI118="HAU forum framing; exact target locator needed",AI118="Forum exchange; exact locator needed")),AND(G118&lt;&gt;"NO EVIDENCE",G118&lt;&gt;"NOT APPLICABLE",OR(AK118="",AL118="",AM118="",AN118="",AK118="SYSTEM INFERENCE",AK118="ABSTRACT ONLY",AK118="SECONDARY REPORT",AK118="UNVERIFIED",AM118="Exact locator needed",AM118="HAU forum framing; exact target locator needed",AM118="Forum exchange; exact locator needed"))),"EVIDENCE DEBT","READY")))</x:f>
        <x:v>READY</x:v>
      </x:c>
      <x:c r="AT118" s="77" t="str">
        <x:v>Added in legal, privacy, due-process, and public-shaming expansion.</x:v>
      </x:c>
    </x:row>
    <x:row r="119" ht="50" customHeight="1">
      <x:c r="A119" s="85" t="n">
        <x:v>114</x:v>
      </x:c>
      <x:c r="B119" s="73" t="str">
        <x:v>Active</x:v>
      </x:c>
      <x:c r="C119" s="89" t="n">
        <x:v>6</x:v>
      </x:c>
      <x:c r="D119" s="82" t="str">
        <x:f>IF(C119="","",IFERROR(VLOOKUP(C119,'Database controls'!$A$5:$B$20,2,FALSE),"NEW / UNCATEGORIZED"))</x:f>
        <x:v>Due process, punishment, and procedural limits</x:v>
      </x:c>
      <x:c r="E119" s="73" t="str">
        <x:v>OUTSIDE / EXCOMMUNICABLE</x:v>
      </x:c>
      <x:c r="F119" s="73" t="str">
        <x:v>REJECTS</x:v>
      </x:c>
      <x:c r="G119" s="73" t="str">
        <x:v>NO EVIDENCE</x:v>
      </x:c>
      <x:c r="H119" s="82" t="str">
        <x:f>IF(A119="","",IF(OR(F119="REJECTS",G119="REJECTS"),"OUTSIDE / EXCOMMUNICABLE",IF(AND(OR(F119="RETAINS",F119="RETAINS WITH QUALIFICATION"),OR(G119="RETAINS",G119="RETAINS WITH QUALIFICATION")),"INTERNAL GORGONWARS",IF(AND(F119="NOT APPLICABLE",G119="NOT APPLICABLE"),"NOT APPLICABLE","PREMISES UNRESOLVED"))))</x:f>
        <x:v>OUTSIDE / EXCOMMUNICABLE</x:v>
      </x:c>
      <x:c r="I119" s="82" t="str">
        <x:f>IF(A119="","",IF(E119=H119,"OK",IF(AO119&lt;&gt;"","OVERRIDDEN","REVIEW")))</x:f>
        <x:v>OK</x:v>
      </x:c>
      <x:c r="J119" s="73" t="str">
        <x:v>Direct feminist critique of naming and shaming as punitive culture of control</x:v>
      </x:c>
      <x:c r="K119" s="73" t="str">
        <x:v>Direct #MeToo critique</x:v>
      </x:c>
      <x:c r="L119" s="73" t="str">
        <x:v>Peer-reviewed journal article</x:v>
      </x:c>
      <x:c r="M119" s="73" t="str">
        <x:v>Peer-reviewed</x:v>
      </x:c>
      <x:c r="N119" s="89" t="n">
        <x:v>2021</x:v>
      </x:c>
      <x:c r="O119" s="73" t="str">
        <x:v>Martina Althoff</x:v>
      </x:c>
      <x:c r="P119" s="73" t="str">
        <x:v>Naming and shaming seksueel geweld – #MeToo als politieke beweging?</x:v>
      </x:c>
      <x:c r="Q119" s="73" t="str">
        <x:v>Tijdschrift over Cultuur &amp; Criminaliteit 11(3):16–32</x:v>
      </x:c>
      <x:c r="R119" s="73" t="str">
        <x:v>Other</x:v>
      </x:c>
      <x:c r="S119" s="73" t="str">
        <x:v>Making sexual violence discussable matters, but neither criminal punishment nor public naming fixes structural causes; both can reproduce punitive control.</x:v>
      </x:c>
      <x:c r="T119" s="73" t="str">
        <x:v>The conclusion explicitly retains #MeToo’s deprivatizing political project and rejects the naming-and-shaming instrument rather than the full personal-is-political axiom.</x:v>
      </x:c>
      <x:c r="U119" s="73" t="str">
        <x:v>Full text verified</x:v>
      </x:c>
      <x:c r="V119" s="73" t="str">
        <x:v>https://research.rug.nl/en/publications/naming-and-shaming-seksueel-geweld-metoo-als-politieke-beweging/</x:v>
      </x:c>
      <x:c r="W119" s="73" t="str">
        <x:v>10.5553/TCC/221195072022011003002</x:v>
      </x:c>
      <x:c r="X119" s="93" t="n">
        <x:v>46230</x:v>
      </x:c>
      <x:c r="Y119" s="93" t="n">
        <x:v>46230</x:v>
      </x:c>
      <x:c r="Z119" s="73" t="str"/>
      <x:c r="AA119" s="73" t="str"/>
      <x:c r="AB119" s="73" t="n">
        <x:v>114</x:v>
      </x:c>
      <x:c r="AC119" s="73" t="str">
        <x:v>DIRECT OUTSIDE CRITIQUE</x:v>
      </x:c>
      <x:c r="AD119" s="73" t="str">
        <x:v>MIXED / QUALIFIED CRITIQUE</x:v>
      </x:c>
      <x:c r="AE119" s="73" t="str">
        <x:v>YES</x:v>
      </x:c>
      <x:c r="AF119" s="73" t="str">
        <x:v>Naming and shaming as accusation, punishment, and culture of control</x:v>
      </x:c>
      <x:c r="AG119" s="73" t="str">
        <x:v>DIRECT EXPLICIT</x:v>
      </x:c>
      <x:c r="AH119" s="73" t="str">
        <x:v>Translated quote: “the same applies to naming and shaming, which comes with accusation and punishment and is characteristic of a culture of control.”</x:v>
      </x:c>
      <x:c r="AI119" s="73" t="str">
        <x:v>p. 29</x:v>
      </x:c>
      <x:c r="AJ119" s="73" t="str">
        <x:v>https://research.rug.nl/en/publications/naming-and-shaming-seksueel-geweld-metoo-als-politieke-beweging/</x:v>
      </x:c>
      <x:c r="AK119" s="73" t="str">
        <x:v>NO EVIDENCE</x:v>
      </x:c>
      <x:c r="AL119" s="73" t="str"/>
      <x:c r="AM119" s="73" t="str"/>
      <x:c r="AN119" s="73" t="str"/>
      <x:c r="AO119" s="73" t="str"/>
      <x:c r="AP119" s="73" t="str">
        <x:v>Legal/privacy expansion research pass</x:v>
      </x:c>
      <x:c r="AQ119" s="73" t="str">
        <x:v>GORGONWARS-PREMISE-1.0</x:v>
      </x:c>
      <x:c r="AR119" s="73" t="str"/>
      <x:c r="AS119" s="82" t="str">
        <x:f>IF(A119="","",IF(OR(E119="NOT APPLICABLE",E119="PREMISES UNRESOLVED"),"N/A",IF(OR(AND(F119&lt;&gt;"NO EVIDENCE",F119&lt;&gt;"NOT APPLICABLE",OR(AG119="",AH119="",AI119="",AJ119="",AG119="SYSTEM INFERENCE",AG119="ABSTRACT ONLY",AG119="SECONDARY REPORT",AG119="UNVERIFIED",AI119="Exact locator needed",AI119="HAU forum framing; exact target locator needed",AI119="Forum exchange; exact locator needed")),AND(G119&lt;&gt;"NO EVIDENCE",G119&lt;&gt;"NOT APPLICABLE",OR(AK119="",AL119="",AM119="",AN119="",AK119="SYSTEM INFERENCE",AK119="ABSTRACT ONLY",AK119="SECONDARY REPORT",AK119="UNVERIFIED",AM119="Exact locator needed",AM119="HAU forum framing; exact target locator needed",AM119="Forum exchange; exact locator needed"))),"EVIDENCE DEBT","READY")))</x:f>
        <x:v>READY</x:v>
      </x:c>
      <x:c r="AT119" s="74" t="str">
        <x:v>Added in legal, privacy, due-process, and public-shaming expansion.</x:v>
      </x:c>
    </x:row>
    <x:row r="120" ht="50" customHeight="1">
      <x:c r="A120" s="86" t="n">
        <x:v>115</x:v>
      </x:c>
      <x:c r="B120" s="76" t="str">
        <x:v>Provisional</x:v>
      </x:c>
      <x:c r="C120" s="90" t="n">
        <x:v>6</x:v>
      </x:c>
      <x:c r="D120" s="82" t="str">
        <x:f>IF(C120="","",IFERROR(VLOOKUP(C120,'Database controls'!$A$5:$B$20,2,FALSE),"NEW / UNCATEGORIZED"))</x:f>
        <x:v>Due process, punishment, and procedural limits</x:v>
      </x:c>
      <x:c r="E120" s="76" t="str">
        <x:v>OUTSIDE / EXCOMMUNICABLE</x:v>
      </x:c>
      <x:c r="F120" s="76" t="str">
        <x:v>REJECTS</x:v>
      </x:c>
      <x:c r="G120" s="76" t="str">
        <x:v>NO EVIDENCE</x:v>
      </x:c>
      <x:c r="H120" s="82" t="str">
        <x:f>IF(A120="","",IF(OR(F120="REJECTS",G120="REJECTS"),"OUTSIDE / EXCOMMUNICABLE",IF(AND(OR(F120="RETAINS",F120="RETAINS WITH QUALIFICATION"),OR(G120="RETAINS",G120="RETAINS WITH QUALIFICATION")),"INTERNAL GORGONWARS",IF(AND(F120="NOT APPLICABLE",G120="NOT APPLICABLE"),"NOT APPLICABLE","PREMISES UNRESOLVED"))))</x:f>
        <x:v>OUTSIDE / EXCOMMUNICABLE</x:v>
      </x:c>
      <x:c r="I120" s="82" t="str">
        <x:f>IF(A120="","",IF(E120=H120,"OK",IF(AO120&lt;&gt;"","OVERRIDDEN","REVIEW")))</x:f>
        <x:v>OK</x:v>
      </x:c>
      <x:c r="J120" s="76" t="str">
        <x:v>Chilean criminal-law critique of social media as punitive court</x:v>
      </x:c>
      <x:c r="K120" s="76" t="str">
        <x:v>Movement-adjacent</x:v>
      </x:c>
      <x:c r="L120" s="76" t="str">
        <x:v>Peer-reviewed journal article</x:v>
      </x:c>
      <x:c r="M120" s="76" t="str">
        <x:v>Peer-reviewed</x:v>
      </x:c>
      <x:c r="N120" s="90" t="n">
        <x:v>2025</x:v>
      </x:c>
      <x:c r="O120" s="76" t="str">
        <x:v>Alejandra Castillo Ara</x:v>
      </x:c>
      <x:c r="P120" s="76" t="str">
        <x:v>Use and Abuse of Social Media as a Punitive Remedy in Light of Criminal Law: A Tool or a Court? Analysis of the Chilean Regulation</x:v>
      </x:c>
      <x:c r="Q120" s="76" t="str">
        <x:v>Social Science Computer Review 43(2):381–396</x:v>
      </x:c>
      <x:c r="R120" s="76" t="str">
        <x:v>English</x:v>
      </x:c>
      <x:c r="S120" s="76" t="str">
        <x:v>Digital empowerment becomes a court of punishment when it exposes people’s data for alleged crimes or merely disapproved conduct.</x:v>
      </x:c>
      <x:c r="T120" s="76" t="str">
        <x:v>Broader than #MeToo and mainly a Chilean funa/doxing law article; #MeToo appears in the framing and references.</x:v>
      </x:c>
      <x:c r="U120" s="76" t="str">
        <x:v>Abstract only</x:v>
      </x:c>
      <x:c r="V120" s="76" t="str">
        <x:v>https://journals.sagepub.com/doi/abs/10.1177/08944393241252639</x:v>
      </x:c>
      <x:c r="W120" s="76" t="str">
        <x:v>10.1177/08944393241252639</x:v>
      </x:c>
      <x:c r="X120" s="94" t="n">
        <x:v>46230</x:v>
      </x:c>
      <x:c r="Y120" s="94" t="n">
        <x:v>46230</x:v>
      </x:c>
      <x:c r="Z120" s="76" t="str"/>
      <x:c r="AA120" s="76" t="str"/>
      <x:c r="AB120" s="76" t="n">
        <x:v>115</x:v>
      </x:c>
      <x:c r="AC120" s="76" t="str">
        <x:v>ADJACENT CONTEXT</x:v>
      </x:c>
      <x:c r="AD120" s="76" t="str">
        <x:v>MECHANISM / ADJACENT</x:v>
      </x:c>
      <x:c r="AE120" s="76" t="str">
        <x:v>ADJACENT</x:v>
      </x:c>
      <x:c r="AF120" s="76" t="str">
        <x:v>Funa, doxing, and exposure of personal data as informal punishment</x:v>
      </x:c>
      <x:c r="AG120" s="76" t="str">
        <x:v>ABSTRACT ONLY</x:v>
      </x:c>
      <x:c r="AH120" s="76" t="str">
        <x:v>Quote: public personal-data exposure on social media is treated “as a dangerous behaviour for the person whose data is being exposed.”</x:v>
      </x:c>
      <x:c r="AI120" s="76" t="str">
        <x:v>Abstract</x:v>
      </x:c>
      <x:c r="AJ120" s="76" t="str">
        <x:v>https://journals.sagepub.com/doi/abs/10.1177/08944393241252639</x:v>
      </x:c>
      <x:c r="AK120" s="76" t="str">
        <x:v>NO EVIDENCE</x:v>
      </x:c>
      <x:c r="AL120" s="76" t="str"/>
      <x:c r="AM120" s="76" t="str"/>
      <x:c r="AN120" s="76" t="str"/>
      <x:c r="AO120" s="76" t="str"/>
      <x:c r="AP120" s="76" t="str">
        <x:v>Legal/privacy expansion research pass</x:v>
      </x:c>
      <x:c r="AQ120" s="76" t="str">
        <x:v>GORGONWARS-PREMISE-1.0</x:v>
      </x:c>
      <x:c r="AR120" s="76" t="str"/>
      <x:c r="AS120" s="82" t="str">
        <x:f>IF(A120="","",IF(OR(E120="NOT APPLICABLE",E120="PREMISES UNRESOLVED"),"N/A",IF(OR(AND(F120&lt;&gt;"NO EVIDENCE",F120&lt;&gt;"NOT APPLICABLE",OR(AG120="",AH120="",AI120="",AJ120="",AG120="SYSTEM INFERENCE",AG120="ABSTRACT ONLY",AG120="SECONDARY REPORT",AG120="UNVERIFIED",AI120="Exact locator needed",AI120="HAU forum framing; exact target locator needed",AI120="Forum exchange; exact locator needed")),AND(G120&lt;&gt;"NO EVIDENCE",G120&lt;&gt;"NOT APPLICABLE",OR(AK120="",AL120="",AM120="",AN120="",AK120="SYSTEM INFERENCE",AK120="ABSTRACT ONLY",AK120="SECONDARY REPORT",AK120="UNVERIFIED",AM120="Exact locator needed",AM120="HAU forum framing; exact target locator needed",AM120="Forum exchange; exact locator needed"))),"EVIDENCE DEBT","READY")))</x:f>
        <x:v>EVIDENCE DEBT</x:v>
      </x:c>
      <x:c r="AT120" s="77" t="str">
        <x:v>Added in legal, privacy, due-process, and public-shaming expansion.</x:v>
      </x:c>
    </x:row>
    <x:row r="121" ht="50" customHeight="1">
      <x:c r="A121" s="85" t="n">
        <x:v>116</x:v>
      </x:c>
      <x:c r="B121" s="73" t="str">
        <x:v>Provisional</x:v>
      </x:c>
      <x:c r="C121" s="89" t="n">
        <x:v>6</x:v>
      </x:c>
      <x:c r="D121" s="82" t="str">
        <x:f>IF(C121="","",IFERROR(VLOOKUP(C121,'Database controls'!$A$5:$B$20,2,FALSE),"NEW / UNCATEGORIZED"))</x:f>
        <x:v>Due process, punishment, and procedural limits</x:v>
      </x:c>
      <x:c r="E121" s="73" t="str">
        <x:v>OUTSIDE / EXCOMMUNICABLE</x:v>
      </x:c>
      <x:c r="F121" s="73" t="str">
        <x:v>REJECTS</x:v>
      </x:c>
      <x:c r="G121" s="73" t="str">
        <x:v>NO EVIDENCE</x:v>
      </x:c>
      <x:c r="H121" s="82" t="str">
        <x:f>IF(A121="","",IF(OR(F121="REJECTS",G121="REJECTS"),"OUTSIDE / EXCOMMUNICABLE",IF(AND(OR(F121="RETAINS",F121="RETAINS WITH QUALIFICATION"),OR(G121="RETAINS",G121="RETAINS WITH QUALIFICATION")),"INTERNAL GORGONWARS",IF(AND(F121="NOT APPLICABLE",G121="NOT APPLICABLE"),"NOT APPLICABLE","PREMISES UNRESOLVED"))))</x:f>
        <x:v>OUTSIDE / EXCOMMUNICABLE</x:v>
      </x:c>
      <x:c r="I121" s="82" t="str">
        <x:f>IF(A121="","",IF(E121=H121,"OK",IF(AO121&lt;&gt;"","OVERRIDDEN","REVIEW")))</x:f>
        <x:v>OK</x:v>
      </x:c>
      <x:c r="J121" s="73" t="str">
        <x:v>Exploratory critique of feminist funas reproducing state punitivism</x:v>
      </x:c>
      <x:c r="K121" s="73" t="str">
        <x:v>Movement-adjacent</x:v>
      </x:c>
      <x:c r="L121" s="73" t="str">
        <x:v>Other</x:v>
      </x:c>
      <x:c r="M121" s="73" t="str">
        <x:v>Unresolved</x:v>
      </x:c>
      <x:c r="N121" s="89" t="n">
        <x:v>2020</x:v>
      </x:c>
      <x:c r="O121" s="73" t="str">
        <x:v>Ivana Guadalupe Jancik</x:v>
      </x:c>
      <x:c r="P121" s="73" t="str">
        <x:v>Feminismo y punitivismo. Análisis del surgimiento de funas a varones en Argentina</x:v>
      </x:c>
      <x:c r="Q121" s="73" t="str">
        <x:v>Revista Némesis 16:49–59</x:v>
      </x:c>
      <x:c r="R121" s="73" t="str">
        <x:v>Spanish</x:v>
      </x:c>
      <x:c r="S121" s="73" t="str">
        <x:v>Women’s distrust of police and courts explains feminist funas, but copying the state’s punitive machinery outside the state carries the same dangers.</x:v>
      </x:c>
      <x:c r="T121" s="73" t="str">
        <x:v>Exploratory and descriptive; peer-review status was not independently verified; no DOI found; not explicitly a #MeToo article.</x:v>
      </x:c>
      <x:c r="U121" s="73" t="str">
        <x:v>Abstract only</x:v>
      </x:c>
      <x:c r="V121" s="73" t="str">
        <x:v>https://revistanemesis.uchile.cl/index.php/RN/article/view/61747</x:v>
      </x:c>
      <x:c r="W121" s="73" t="str"/>
      <x:c r="X121" s="93" t="n">
        <x:v>46230</x:v>
      </x:c>
      <x:c r="Y121" s="93" t="n">
        <x:v>46230</x:v>
      </x:c>
      <x:c r="Z121" s="73" t="str">
        <x:v>Weak-status flag: academic journal source, but peer review was not independently verified.</x:v>
      </x:c>
      <x:c r="AA121" s="73" t="str"/>
      <x:c r="AB121" s="73" t="n">
        <x:v>116</x:v>
      </x:c>
      <x:c r="AC121" s="73" t="str">
        <x:v>ADJACENT CONTEXT</x:v>
      </x:c>
      <x:c r="AD121" s="73" t="str">
        <x:v>MECHANISM / ADJACENT</x:v>
      </x:c>
      <x:c r="AE121" s="73" t="str">
        <x:v>ADJACENT</x:v>
      </x:c>
      <x:c r="AF121" s="73" t="str">
        <x:v>Feminist funas as reproduction of state punitive logic</x:v>
      </x:c>
      <x:c r="AG121" s="73" t="str">
        <x:v>ABSTRACT ONLY</x:v>
      </x:c>
      <x:c r="AH121" s="73" t="str">
        <x:v>Translated quote: “this informal practice recreates many elements of state punitivism.”</x:v>
      </x:c>
      <x:c r="AI121" s="73" t="str">
        <x:v>Abstract</x:v>
      </x:c>
      <x:c r="AJ121" s="73" t="str">
        <x:v>https://revistanemesis.uchile.cl/index.php/RN/article/view/61747</x:v>
      </x:c>
      <x:c r="AK121" s="73" t="str">
        <x:v>NO EVIDENCE</x:v>
      </x:c>
      <x:c r="AL121" s="73" t="str"/>
      <x:c r="AM121" s="73" t="str"/>
      <x:c r="AN121" s="73" t="str"/>
      <x:c r="AO121" s="73" t="str"/>
      <x:c r="AP121" s="73" t="str">
        <x:v>Legal/privacy expansion research pass</x:v>
      </x:c>
      <x:c r="AQ121" s="73" t="str">
        <x:v>GORGONWARS-PREMISE-1.0</x:v>
      </x:c>
      <x:c r="AR121" s="73" t="str"/>
      <x:c r="AS121" s="82" t="str">
        <x:f>IF(A121="","",IF(OR(E121="NOT APPLICABLE",E121="PREMISES UNRESOLVED"),"N/A",IF(OR(AND(F121&lt;&gt;"NO EVIDENCE",F121&lt;&gt;"NOT APPLICABLE",OR(AG121="",AH121="",AI121="",AJ121="",AG121="SYSTEM INFERENCE",AG121="ABSTRACT ONLY",AG121="SECONDARY REPORT",AG121="UNVERIFIED",AI121="Exact locator needed",AI121="HAU forum framing; exact target locator needed",AI121="Forum exchange; exact locator needed")),AND(G121&lt;&gt;"NO EVIDENCE",G121&lt;&gt;"NOT APPLICABLE",OR(AK121="",AL121="",AM121="",AN121="",AK121="SYSTEM INFERENCE",AK121="ABSTRACT ONLY",AK121="SECONDARY REPORT",AK121="UNVERIFIED",AM121="Exact locator needed",AM121="HAU forum framing; exact target locator needed",AM121="Forum exchange; exact locator needed"))),"EVIDENCE DEBT","READY")))</x:f>
        <x:v>EVIDENCE DEBT</x:v>
      </x:c>
      <x:c r="AT121" s="74" t="str">
        <x:v>Added in legal, privacy, due-process, and public-shaming expansion.</x:v>
      </x:c>
    </x:row>
    <x:row r="122" ht="50" customHeight="1">
      <x:c r="A122" s="86" t="n">
        <x:v>117</x:v>
      </x:c>
      <x:c r="B122" s="76" t="str">
        <x:v>Provisional</x:v>
      </x:c>
      <x:c r="C122" s="90" t="n">
        <x:v>4</x:v>
      </x:c>
      <x:c r="D122" s="82" t="str">
        <x:f>IF(C122="","",IFERROR(VLOOKUP(C122,'Database controls'!$A$5:$B$20,2,FALSE),"NEW / UNCATEGORIZED"))</x:f>
        <x:v>Testimony, belief, and epistemic authority</x:v>
      </x:c>
      <x:c r="E122" s="76" t="str">
        <x:v>OUTSIDE / EXCOMMUNICABLE</x:v>
      </x:c>
      <x:c r="F122" s="76" t="str">
        <x:v>NO EVIDENCE</x:v>
      </x:c>
      <x:c r="G122" s="76" t="str">
        <x:v>REJECTS</x:v>
      </x:c>
      <x:c r="H122" s="82" t="str">
        <x:f>IF(A122="","",IF(OR(F122="REJECTS",G122="REJECTS"),"OUTSIDE / EXCOMMUNICABLE",IF(AND(OR(F122="RETAINS",F122="RETAINS WITH QUALIFICATION"),OR(G122="RETAINS",G122="RETAINS WITH QUALIFICATION")),"INTERNAL GORGONWARS",IF(AND(F122="NOT APPLICABLE",G122="NOT APPLICABLE"),"NOT APPLICABLE","PREMISES UNRESOLVED"))))</x:f>
        <x:v>OUTSIDE / EXCOMMUNICABLE</x:v>
      </x:c>
      <x:c r="I122" s="82" t="str">
        <x:f>IF(A122="","",IF(E122=H122,"OK",IF(AO122&lt;&gt;"","OVERRIDDEN","REVIEW")))</x:f>
        <x:v>OK</x:v>
      </x:c>
      <x:c r="J122" s="76" t="str">
        <x:v>Pre-#MeToo rejection of the heuristic that all sexual-harassment claims are true</x:v>
      </x:c>
      <x:c r="K122" s="76" t="str">
        <x:v>Foundational antecedent</x:v>
      </x:c>
      <x:c r="L122" s="76" t="str">
        <x:v>Peer-reviewed journal article</x:v>
      </x:c>
      <x:c r="M122" s="76" t="str">
        <x:v>Peer-reviewed</x:v>
      </x:c>
      <x:c r="N122" s="90" t="n">
        <x:v>2006</x:v>
      </x:c>
      <x:c r="O122" s="76" t="str">
        <x:v>William O’Donohue and Adrian H. Bowers</x:v>
      </x:c>
      <x:c r="P122" s="76" t="str">
        <x:v>Pathways to false allegations of sexual harassment</x:v>
      </x:c>
      <x:c r="Q122" s="76" t="str">
        <x:v>Journal of Investigative Psychology and Offender Profiling 3(1):47–74</x:v>
      </x:c>
      <x:c r="R122" s="76" t="str">
        <x:v>English</x:v>
      </x:c>
      <x:c r="S122" s="76" t="str">
        <x:v>Because harassment cases often lack witnesses or hard evidence, investigators must consider multiple routes to false or mistaken allegations instead of presuming every claim true.</x:v>
      </x:c>
      <x:c r="T122" s="76" t="str">
        <x:v>Pre-#MeToo; its typology includes controversial psychiatric and pathologizing categories and is not prevalence evidence.</x:v>
      </x:c>
      <x:c r="U122" s="76" t="str">
        <x:v>Abstract only</x:v>
      </x:c>
      <x:c r="V122" s="76" t="str">
        <x:v>https://onlinelibrary.wiley.com/doi/10.1002/jip.43</x:v>
      </x:c>
      <x:c r="W122" s="76" t="str">
        <x:v>10.1002/jip.43</x:v>
      </x:c>
      <x:c r="X122" s="94" t="n">
        <x:v>46230</x:v>
      </x:c>
      <x:c r="Y122" s="94" t="n">
        <x:v>46230</x:v>
      </x:c>
      <x:c r="Z122" s="76" t="str"/>
      <x:c r="AA122" s="76" t="str"/>
      <x:c r="AB122" s="76" t="n">
        <x:v>117</x:v>
      </x:c>
      <x:c r="AC122" s="76" t="str">
        <x:v>FOUNDATIONAL ANTECEDENT</x:v>
      </x:c>
      <x:c r="AD122" s="76" t="str">
        <x:v>MECHANISM / ADJACENT</x:v>
      </x:c>
      <x:c r="AE122" s="76" t="str">
        <x:v>NO</x:v>
      </x:c>
      <x:c r="AF122" s="76" t="str">
        <x:v>Blanket credibility for sexual-harassment allegations</x:v>
      </x:c>
      <x:c r="AG122" s="76" t="str">
        <x:v>NO EVIDENCE</x:v>
      </x:c>
      <x:c r="AH122" s="76" t="str"/>
      <x:c r="AI122" s="76" t="str"/>
      <x:c r="AJ122" s="76" t="str">
        <x:v>https://onlinelibrary.wiley.com/doi/10.1002/jip.43</x:v>
      </x:c>
      <x:c r="AK122" s="76" t="str">
        <x:v>ABSTRACT ONLY</x:v>
      </x:c>
      <x:c r="AL122" s="76" t="str">
        <x:v>Quote: “It is naïve and harmful to operate with the heuristic: ‘All claims are true’.”</x:v>
      </x:c>
      <x:c r="AM122" s="76" t="str">
        <x:v>Abstract</x:v>
      </x:c>
      <x:c r="AN122" s="76" t="str">
        <x:v>https://onlinelibrary.wiley.com/doi/10.1002/jip.43</x:v>
      </x:c>
      <x:c r="AO122" s="76" t="str"/>
      <x:c r="AP122" s="76" t="str">
        <x:v>Legal/privacy expansion research pass</x:v>
      </x:c>
      <x:c r="AQ122" s="76" t="str">
        <x:v>GORGONWARS-PREMISE-1.0</x:v>
      </x:c>
      <x:c r="AR122" s="76" t="str"/>
      <x:c r="AS122" s="82" t="str">
        <x:f>IF(A122="","",IF(OR(E122="NOT APPLICABLE",E122="PREMISES UNRESOLVED"),"N/A",IF(OR(AND(F122&lt;&gt;"NO EVIDENCE",F122&lt;&gt;"NOT APPLICABLE",OR(AG122="",AH122="",AI122="",AJ122="",AG122="SYSTEM INFERENCE",AG122="ABSTRACT ONLY",AG122="SECONDARY REPORT",AG122="UNVERIFIED",AI122="Exact locator needed",AI122="HAU forum framing; exact target locator needed",AI122="Forum exchange; exact locator needed")),AND(G122&lt;&gt;"NO EVIDENCE",G122&lt;&gt;"NOT APPLICABLE",OR(AK122="",AL122="",AM122="",AN122="",AK122="SYSTEM INFERENCE",AK122="ABSTRACT ONLY",AK122="SECONDARY REPORT",AK122="UNVERIFIED",AM122="Exact locator needed",AM122="HAU forum framing; exact target locator needed",AM122="Forum exchange; exact locator needed"))),"EVIDENCE DEBT","READY")))</x:f>
        <x:v>EVIDENCE DEBT</x:v>
      </x:c>
      <x:c r="AT122" s="77" t="str">
        <x:v>Added in legal, privacy, due-process, and public-shaming expansion.</x:v>
      </x:c>
    </x:row>
    <x:row r="123" ht="50" customHeight="1">
      <x:c r="A123" s="85" t="n">
        <x:v>118</x:v>
      </x:c>
      <x:c r="B123" s="73" t="str">
        <x:v>Active</x:v>
      </x:c>
      <x:c r="C123" s="89" t="n">
        <x:v>2</x:v>
      </x:c>
      <x:c r="D123" s="82" t="str">
        <x:f>IF(C123="","",IFERROR(VLOOKUP(C123,'Database controls'!$A$5:$B$20,2,FALSE),"NEW / UNCATEGORIZED"))</x:f>
        <x:v>Foundational public/private-boundary dissent</x:v>
      </x:c>
      <x:c r="E123" s="73" t="str">
        <x:v>OUTSIDE / EXCOMMUNICABLE</x:v>
      </x:c>
      <x:c r="F123" s="73" t="str">
        <x:v>REJECTS</x:v>
      </x:c>
      <x:c r="G123" s="73" t="str">
        <x:v>NO EVIDENCE</x:v>
      </x:c>
      <x:c r="H123" s="82" t="str">
        <x:f>IF(A123="","",IF(OR(F123="REJECTS",G123="REJECTS"),"OUTSIDE / EXCOMMUNICABLE",IF(AND(OR(F123="RETAINS",F123="RETAINS WITH QUALIFICATION"),OR(G123="RETAINS",G123="RETAINS WITH QUALIFICATION")),"INTERNAL GORGONWARS",IF(AND(F123="NOT APPLICABLE",G123="NOT APPLICABLE"),"NOT APPLICABLE","PREMISES UNRESOLVED"))))</x:f>
        <x:v>OUTSIDE / EXCOMMUNICABLE</x:v>
      </x:c>
      <x:c r="I123" s="82" t="str">
        <x:f>IF(A123="","",IF(E123=H123,"OK",IF(AO123&lt;&gt;"","OVERRIDDEN","REVIEW")))</x:f>
        <x:v>OK</x:v>
      </x:c>
      <x:c r="J123" s="73" t="str">
        <x:v>Media-law principle that truth does not eliminate privacy</x:v>
      </x:c>
      <x:c r="K123" s="73" t="str">
        <x:v>Movement-adjacent</x:v>
      </x:c>
      <x:c r="L123" s="73" t="str">
        <x:v>Peer-reviewed journal article</x:v>
      </x:c>
      <x:c r="M123" s="73" t="str">
        <x:v>Peer-reviewed</x:v>
      </x:c>
      <x:c r="N123" s="89" t="n">
        <x:v>2025</x:v>
      </x:c>
      <x:c r="O123" s="73" t="str">
        <x:v>David Rolph</x:v>
      </x:c>
      <x:c r="P123" s="73" t="str">
        <x:v>Truth as a defence: defamation, contempt, confidence, privacy</x:v>
      </x:c>
      <x:c r="Q123" s="73" t="str">
        <x:v>Journal of Media Law 17(2):427–450</x:v>
      </x:c>
      <x:c r="R123" s="73" t="str">
        <x:v>English</x:v>
      </x:c>
      <x:c r="S123" s="73" t="str">
        <x:v>Even a true allegation can unlawfully invade privacy; factual truth does not erase every boundary against publication.</x:v>
      </x:c>
      <x:c r="T123" s="73" t="str">
        <x:v>General doctrinal article in a relevant special issue rather than a dedicated #MeToo critique.</x:v>
      </x:c>
      <x:c r="U123" s="73" t="str">
        <x:v>Full text verified</x:v>
      </x:c>
      <x:c r="V123" s="73" t="str">
        <x:v>https://www.tandfonline.com/doi/full/10.1080/17577632.2025.2567732</x:v>
      </x:c>
      <x:c r="W123" s="73" t="str">
        <x:v>10.1080/17577632.2025.2567732</x:v>
      </x:c>
      <x:c r="X123" s="93" t="n">
        <x:v>46230</x:v>
      </x:c>
      <x:c r="Y123" s="93" t="n">
        <x:v>46230</x:v>
      </x:c>
      <x:c r="Z123" s="73" t="str"/>
      <x:c r="AA123" s="73" t="str"/>
      <x:c r="AB123" s="73" t="n">
        <x:v>118</x:v>
      </x:c>
      <x:c r="AC123" s="73" t="str">
        <x:v>ADJACENT CONTEXT</x:v>
      </x:c>
      <x:c r="AD123" s="73" t="str">
        <x:v>MECHANISM / ADJACENT</x:v>
      </x:c>
      <x:c r="AE123" s="73" t="str">
        <x:v>ADJACENT</x:v>
      </x:c>
      <x:c r="AF123" s="73" t="str">
        <x:v>Treating truth as an automatic license to publicize private information</x:v>
      </x:c>
      <x:c r="AG123" s="73" t="str">
        <x:v>DIRECT EXPLICIT</x:v>
      </x:c>
      <x:c r="AH123" s="73" t="str">
        <x:v>Quote: “truth is not a defence to misuse of private information.”</x:v>
      </x:c>
      <x:c r="AI123" s="73" t="str">
        <x:v>Conclusion</x:v>
      </x:c>
      <x:c r="AJ123" s="73" t="str">
        <x:v>https://www.tandfonline.com/doi/full/10.1080/17577632.2025.2567732</x:v>
      </x:c>
      <x:c r="AK123" s="73" t="str">
        <x:v>NO EVIDENCE</x:v>
      </x:c>
      <x:c r="AL123" s="73" t="str"/>
      <x:c r="AM123" s="73" t="str"/>
      <x:c r="AN123" s="73" t="str"/>
      <x:c r="AO123" s="73" t="str"/>
      <x:c r="AP123" s="73" t="str">
        <x:v>Legal/privacy expansion research pass</x:v>
      </x:c>
      <x:c r="AQ123" s="73" t="str">
        <x:v>GORGONWARS-PREMISE-1.0</x:v>
      </x:c>
      <x:c r="AR123" s="73" t="str"/>
      <x:c r="AS123" s="82" t="str">
        <x:f>IF(A123="","",IF(OR(E123="NOT APPLICABLE",E123="PREMISES UNRESOLVED"),"N/A",IF(OR(AND(F123&lt;&gt;"NO EVIDENCE",F123&lt;&gt;"NOT APPLICABLE",OR(AG123="",AH123="",AI123="",AJ123="",AG123="SYSTEM INFERENCE",AG123="ABSTRACT ONLY",AG123="SECONDARY REPORT",AG123="UNVERIFIED",AI123="Exact locator needed",AI123="HAU forum framing; exact target locator needed",AI123="Forum exchange; exact locator needed")),AND(G123&lt;&gt;"NO EVIDENCE",G123&lt;&gt;"NOT APPLICABLE",OR(AK123="",AL123="",AM123="",AN123="",AK123="SYSTEM INFERENCE",AK123="ABSTRACT ONLY",AK123="SECONDARY REPORT",AK123="UNVERIFIED",AM123="Exact locator needed",AM123="HAU forum framing; exact target locator needed",AM123="Forum exchange; exact locator needed"))),"EVIDENCE DEBT","READY")))</x:f>
        <x:v>READY</x:v>
      </x:c>
      <x:c r="AT123" s="74" t="str">
        <x:v>Added in legal, privacy, due-process, and public-shaming expansion.</x:v>
      </x:c>
    </x:row>
    <x:row r="124" ht="50" customHeight="1">
      <x:c r="A124" s="86" t="n">
        <x:v>119</x:v>
      </x:c>
      <x:c r="B124" s="76" t="str">
        <x:v>Provisional</x:v>
      </x:c>
      <x:c r="C124" s="90" t="n">
        <x:v>2</x:v>
      </x:c>
      <x:c r="D124" s="82" t="str">
        <x:f>IF(C124="","",IFERROR(VLOOKUP(C124,'Database controls'!$A$5:$B$20,2,FALSE),"NEW / UNCATEGORIZED"))</x:f>
        <x:v>Foundational public/private-boundary dissent</x:v>
      </x:c>
      <x:c r="E124" s="76" t="str">
        <x:v>OUTSIDE / EXCOMMUNICABLE</x:v>
      </x:c>
      <x:c r="F124" s="76" t="str">
        <x:v>REJECTS</x:v>
      </x:c>
      <x:c r="G124" s="76" t="str">
        <x:v>NO EVIDENCE</x:v>
      </x:c>
      <x:c r="H124" s="82" t="str">
        <x:f>IF(A124="","",IF(OR(F124="REJECTS",G124="REJECTS"),"OUTSIDE / EXCOMMUNICABLE",IF(AND(OR(F124="RETAINS",F124="RETAINS WITH QUALIFICATION"),OR(G124="RETAINS",G124="RETAINS WITH QUALIFICATION")),"INTERNAL GORGONWARS",IF(AND(F124="NOT APPLICABLE",G124="NOT APPLICABLE"),"NOT APPLICABLE","PREMISES UNRESOLVED"))))</x:f>
        <x:v>OUTSIDE / EXCOMMUNICABLE</x:v>
      </x:c>
      <x:c r="I124" s="82" t="str">
        <x:f>IF(A124="","",IF(E124=H124,"OK",IF(AO124&lt;&gt;"","OVERRIDDEN","REVIEW")))</x:f>
        <x:v>OK</x:v>
      </x:c>
      <x:c r="J124" s="76" t="str">
        <x:v>Contemporaneous defense of privacy rights in consensual workplace relationships</x:v>
      </x:c>
      <x:c r="K124" s="76" t="str">
        <x:v>Foundational antecedent</x:v>
      </x:c>
      <x:c r="L124" s="76" t="str">
        <x:v>Peer-reviewed journal article</x:v>
      </x:c>
      <x:c r="M124" s="76" t="str">
        <x:v>Peer-reviewed</x:v>
      </x:c>
      <x:c r="N124" s="90" t="n">
        <x:v>2018</x:v>
      </x:c>
      <x:c r="O124" s="76" t="str">
        <x:v>Linda Clarke</x:v>
      </x:c>
      <x:c r="P124" s="76" t="str">
        <x:v>Sexual relationships and sexual conduct in the workplace</x:v>
      </x:c>
      <x:c r="Q124" s="76" t="str">
        <x:v>Legal Studies</x:v>
      </x:c>
      <x:c r="R124" s="76" t="str">
        <x:v>English</x:v>
      </x:c>
      <x:c r="S124" s="76" t="str">
        <x:v>Employers cannot treat all consensual workplace intimacy as organizational property; privacy and equality constrain managerial control.</x:v>
      </x:c>
      <x:c r="T124" s="76" t="str">
        <x:v>Not a #MeToo article and not about coercive misconduct; the exact DOI was not verified.</x:v>
      </x:c>
      <x:c r="U124" s="76" t="str">
        <x:v>Abstract only</x:v>
      </x:c>
      <x:c r="V124" s="76" t="str">
        <x:v>https://www.cambridge.org/core/journals/legal-studies/article/sexual-relationships-and-sexual-conduct-in-the-workplace/6DD909FC4DDCD01BE8AD725C75FA8855</x:v>
      </x:c>
      <x:c r="W124" s="76" t="str"/>
      <x:c r="X124" s="94" t="n">
        <x:v>46230</x:v>
      </x:c>
      <x:c r="Y124" s="94" t="n">
        <x:v>46230</x:v>
      </x:c>
      <x:c r="Z124" s="76" t="str"/>
      <x:c r="AA124" s="76" t="str"/>
      <x:c r="AB124" s="76" t="n">
        <x:v>119</x:v>
      </x:c>
      <x:c r="AC124" s="76" t="str">
        <x:v>FOUNDATIONAL ANTECEDENT</x:v>
      </x:c>
      <x:c r="AD124" s="76" t="str">
        <x:v>MECHANISM / ADJACENT</x:v>
      </x:c>
      <x:c r="AE124" s="76" t="str">
        <x:v>NO</x:v>
      </x:c>
      <x:c r="AF124" s="76" t="str">
        <x:v>Employer regulation of consensual sexual relationships</x:v>
      </x:c>
      <x:c r="AG124" s="76" t="str">
        <x:v>ABSTRACT ONLY</x:v>
      </x:c>
      <x:c r="AH124" s="76" t="str">
        <x:v>Paraphrase: Regulation of consensual workplace relationships must answer countervailing privacy and anti-discrimination rights.</x:v>
      </x:c>
      <x:c r="AI124" s="76" t="str">
        <x:v>Abstract</x:v>
      </x:c>
      <x:c r="AJ124" s="76" t="str">
        <x:v>https://www.cambridge.org/core/journals/legal-studies/article/sexual-relationships-and-sexual-conduct-in-the-workplace/6DD909FC4DDCD01BE8AD725C75FA8855</x:v>
      </x:c>
      <x:c r="AK124" s="76" t="str">
        <x:v>NO EVIDENCE</x:v>
      </x:c>
      <x:c r="AL124" s="76" t="str"/>
      <x:c r="AM124" s="76" t="str"/>
      <x:c r="AN124" s="76" t="str"/>
      <x:c r="AO124" s="76" t="str"/>
      <x:c r="AP124" s="76" t="str">
        <x:v>Legal/privacy expansion research pass</x:v>
      </x:c>
      <x:c r="AQ124" s="76" t="str">
        <x:v>GORGONWARS-PREMISE-1.0</x:v>
      </x:c>
      <x:c r="AR124" s="76" t="str"/>
      <x:c r="AS124" s="82" t="str">
        <x:f>IF(A124="","",IF(OR(E124="NOT APPLICABLE",E124="PREMISES UNRESOLVED"),"N/A",IF(OR(AND(F124&lt;&gt;"NO EVIDENCE",F124&lt;&gt;"NOT APPLICABLE",OR(AG124="",AH124="",AI124="",AJ124="",AG124="SYSTEM INFERENCE",AG124="ABSTRACT ONLY",AG124="SECONDARY REPORT",AG124="UNVERIFIED",AI124="Exact locator needed",AI124="HAU forum framing; exact target locator needed",AI124="Forum exchange; exact locator needed")),AND(G124&lt;&gt;"NO EVIDENCE",G124&lt;&gt;"NOT APPLICABLE",OR(AK124="",AL124="",AM124="",AN124="",AK124="SYSTEM INFERENCE",AK124="ABSTRACT ONLY",AK124="SECONDARY REPORT",AK124="UNVERIFIED",AM124="Exact locator needed",AM124="HAU forum framing; exact target locator needed",AM124="Forum exchange; exact locator needed"))),"EVIDENCE DEBT","READY")))</x:f>
        <x:v>EVIDENCE DEBT</x:v>
      </x:c>
      <x:c r="AT124" s="77" t="str">
        <x:v>Added in legal, privacy, due-process, and public-shaming expansion.</x:v>
      </x:c>
    </x:row>
    <x:row r="125" ht="50" customHeight="1">
      <x:c r="A125" s="85" t="n">
        <x:v>120</x:v>
      </x:c>
      <x:c r="B125" s="73" t="str">
        <x:v>Provisional</x:v>
      </x:c>
      <x:c r="C125" s="89" t="n">
        <x:v>2</x:v>
      </x:c>
      <x:c r="D125" s="82" t="str">
        <x:f>IF(C125="","",IFERROR(VLOOKUP(C125,'Database controls'!$A$5:$B$20,2,FALSE),"NEW / UNCATEGORIZED"))</x:f>
        <x:v>Foundational public/private-boundary dissent</x:v>
      </x:c>
      <x:c r="E125" s="73" t="str">
        <x:v>OUTSIDE / EXCOMMUNICABLE</x:v>
      </x:c>
      <x:c r="F125" s="73" t="str">
        <x:v>REJECTS</x:v>
      </x:c>
      <x:c r="G125" s="73" t="str">
        <x:v>NO EVIDENCE</x:v>
      </x:c>
      <x:c r="H125" s="82" t="str">
        <x:f>IF(A125="","",IF(OR(F125="REJECTS",G125="REJECTS"),"OUTSIDE / EXCOMMUNICABLE",IF(AND(OR(F125="RETAINS",F125="RETAINS WITH QUALIFICATION"),OR(G125="RETAINS",G125="RETAINS WITH QUALIFICATION")),"INTERNAL GORGONWARS",IF(AND(F125="NOT APPLICABLE",G125="NOT APPLICABLE"),"NOT APPLICABLE","PREMISES UNRESOLVED"))))</x:f>
        <x:v>OUTSIDE / EXCOMMUNICABLE</x:v>
      </x:c>
      <x:c r="I125" s="82" t="str">
        <x:f>IF(A125="","",IF(E125=H125,"OK",IF(AO125&lt;&gt;"","OVERRIDDEN","REVIEW")))</x:f>
        <x:v>OK</x:v>
      </x:c>
      <x:c r="J125" s="73" t="str">
        <x:v>Pre-#MeToo employment-law defense of off-duty private conduct</x:v>
      </x:c>
      <x:c r="K125" s="73" t="str">
        <x:v>Foundational antecedent</x:v>
      </x:c>
      <x:c r="L125" s="73" t="str">
        <x:v>Peer-reviewed journal article</x:v>
      </x:c>
      <x:c r="M125" s="73" t="str">
        <x:v>Peer-reviewed</x:v>
      </x:c>
      <x:c r="N125" s="89" t="n">
        <x:v>2008</x:v>
      </x:c>
      <x:c r="O125" s="73" t="str">
        <x:v>Virginia Mantouvalou</x:v>
      </x:c>
      <x:c r="P125" s="73" t="str">
        <x:v>Human Rights and Unfair Dismissal: Private Acts in Public Spaces</x:v>
      </x:c>
      <x:c r="Q125" s="73" t="str">
        <x:v>Modern Law Review 71:912–939</x:v>
      </x:c>
      <x:c r="R125" s="73" t="str">
        <x:v>English</x:v>
      </x:c>
      <x:c r="S125" s="73" t="str">
        <x:v>An employer should not punish lawful private conduct unless it creates a concrete, serious workplace harm.</x:v>
      </x:c>
      <x:c r="T125" s="73" t="str">
        <x:v>General employment and privacy theory, not sexual-misconduct allegations or #MeToo.</x:v>
      </x:c>
      <x:c r="U125" s="73" t="str">
        <x:v>Abstract only</x:v>
      </x:c>
      <x:c r="V125" s="73" t="str">
        <x:v>https://onlinelibrary.wiley.com/doi/abs/10.1111/j.1468-2230.2008.00722.x</x:v>
      </x:c>
      <x:c r="W125" s="73" t="str">
        <x:v>10.1111/j.1468-2230.2008.00722.x</x:v>
      </x:c>
      <x:c r="X125" s="93" t="n">
        <x:v>46230</x:v>
      </x:c>
      <x:c r="Y125" s="93" t="n">
        <x:v>46230</x:v>
      </x:c>
      <x:c r="Z125" s="73" t="str"/>
      <x:c r="AA125" s="73" t="str"/>
      <x:c r="AB125" s="73" t="n">
        <x:v>120</x:v>
      </x:c>
      <x:c r="AC125" s="73" t="str">
        <x:v>FOUNDATIONAL ANTECEDENT</x:v>
      </x:c>
      <x:c r="AD125" s="73" t="str">
        <x:v>MECHANISM / ADJACENT</x:v>
      </x:c>
      <x:c r="AE125" s="73" t="str">
        <x:v>NO</x:v>
      </x:c>
      <x:c r="AF125" s="73" t="str">
        <x:v>Dismissal for lawful off-duty intimate conduct without concrete business harm</x:v>
      </x:c>
      <x:c r="AG125" s="73" t="str">
        <x:v>ABSTRACT ONLY</x:v>
      </x:c>
      <x:c r="AH125" s="73" t="str">
        <x:v>Paraphrase: Dismissal for off-duty conduct is legitimate only for a clear, present, or highly likely business impact, not speculative or marginal danger.</x:v>
      </x:c>
      <x:c r="AI125" s="73" t="str">
        <x:v>Abstract</x:v>
      </x:c>
      <x:c r="AJ125" s="73" t="str">
        <x:v>https://onlinelibrary.wiley.com/doi/abs/10.1111/j.1468-2230.2008.00722.x</x:v>
      </x:c>
      <x:c r="AK125" s="73" t="str">
        <x:v>NO EVIDENCE</x:v>
      </x:c>
      <x:c r="AL125" s="73" t="str"/>
      <x:c r="AM125" s="73" t="str"/>
      <x:c r="AN125" s="73" t="str"/>
      <x:c r="AO125" s="73" t="str"/>
      <x:c r="AP125" s="73" t="str">
        <x:v>Legal/privacy expansion research pass</x:v>
      </x:c>
      <x:c r="AQ125" s="73" t="str">
        <x:v>GORGONWARS-PREMISE-1.0</x:v>
      </x:c>
      <x:c r="AR125" s="73" t="str"/>
      <x:c r="AS125" s="82" t="str">
        <x:f>IF(A125="","",IF(OR(E125="NOT APPLICABLE",E125="PREMISES UNRESOLVED"),"N/A",IF(OR(AND(F125&lt;&gt;"NO EVIDENCE",F125&lt;&gt;"NOT APPLICABLE",OR(AG125="",AH125="",AI125="",AJ125="",AG125="SYSTEM INFERENCE",AG125="ABSTRACT ONLY",AG125="SECONDARY REPORT",AG125="UNVERIFIED",AI125="Exact locator needed",AI125="HAU forum framing; exact target locator needed",AI125="Forum exchange; exact locator needed")),AND(G125&lt;&gt;"NO EVIDENCE",G125&lt;&gt;"NOT APPLICABLE",OR(AK125="",AL125="",AM125="",AN125="",AK125="SYSTEM INFERENCE",AK125="ABSTRACT ONLY",AK125="SECONDARY REPORT",AK125="UNVERIFIED",AM125="Exact locator needed",AM125="HAU forum framing; exact target locator needed",AM125="Forum exchange; exact locator needed"))),"EVIDENCE DEBT","READY")))</x:f>
        <x:v>EVIDENCE DEBT</x:v>
      </x:c>
      <x:c r="AT125" s="74" t="str">
        <x:v>Added in legal, privacy, due-process, and public-shaming expansion.</x:v>
      </x:c>
    </x:row>
    <x:row r="126" ht="50" customHeight="1">
      <x:c r="A126" s="86" t="n">
        <x:v>121</x:v>
      </x:c>
      <x:c r="B126" s="76" t="str">
        <x:v>Provisional</x:v>
      </x:c>
      <x:c r="C126" s="90" t="n">
        <x:v>2</x:v>
      </x:c>
      <x:c r="D126" s="82" t="str">
        <x:f>IF(C126="","",IFERROR(VLOOKUP(C126,'Database controls'!$A$5:$B$20,2,FALSE),"NEW / UNCATEGORIZED"))</x:f>
        <x:v>Foundational public/private-boundary dissent</x:v>
      </x:c>
      <x:c r="E126" s="76" t="str">
        <x:v>OUTSIDE / EXCOMMUNICABLE</x:v>
      </x:c>
      <x:c r="F126" s="76" t="str">
        <x:v>REJECTS</x:v>
      </x:c>
      <x:c r="G126" s="76" t="str">
        <x:v>NO EVIDENCE</x:v>
      </x:c>
      <x:c r="H126" s="82" t="str">
        <x:f>IF(A126="","",IF(OR(F126="REJECTS",G126="REJECTS"),"OUTSIDE / EXCOMMUNICABLE",IF(AND(OR(F126="RETAINS",F126="RETAINS WITH QUALIFICATION"),OR(G126="RETAINS",G126="RETAINS WITH QUALIFICATION")),"INTERNAL GORGONWARS",IF(AND(F126="NOT APPLICABLE",G126="NOT APPLICABLE"),"NOT APPLICABLE","PREMISES UNRESOLVED"))))</x:f>
        <x:v>OUTSIDE / EXCOMMUNICABLE</x:v>
      </x:c>
      <x:c r="I126" s="82" t="str">
        <x:f>IF(A126="","",IF(E126=H126,"OK",IF(AO126&lt;&gt;"","OVERRIDDEN","REVIEW")))</x:f>
        <x:v>OK</x:v>
      </x:c>
      <x:c r="J126" s="76" t="str">
        <x:v>Public-employment defense of lawful off-duty sexual privacy</x:v>
      </x:c>
      <x:c r="K126" s="76" t="str">
        <x:v>Foundational antecedent</x:v>
      </x:c>
      <x:c r="L126" s="76" t="str">
        <x:v>Law review article</x:v>
      </x:c>
      <x:c r="M126" s="76" t="str">
        <x:v>Law review / editorial review</x:v>
      </x:c>
      <x:c r="N126" s="90" t="n">
        <x:v>2020</x:v>
      </x:c>
      <x:c r="O126" s="76" t="str">
        <x:v>Susan A. Jacobsen</x:v>
      </x:c>
      <x:c r="P126" s="76" t="str">
        <x:v>Private Affairs: Public Employees and the Right to Sexual Privacy</x:v>
      </x:c>
      <x:c r="Q126" s="76" t="str">
        <x:v>Cleveland State Law Review 68:811</x:v>
      </x:c>
      <x:c r="R126" s="76" t="str">
        <x:v>English</x:v>
      </x:c>
      <x:c r="S126" s="76" t="str">
        <x:v>Working for the state does not surrender one’s right to lawful off-duty sexual privacy.</x:v>
      </x:c>
      <x:c r="T126" s="76" t="str">
        <x:v>Not about harassment, disputed allegations, or #MeToo; law review rather than peer-reviewed journal scholarship.</x:v>
      </x:c>
      <x:c r="U126" s="76" t="str">
        <x:v>Abstract only</x:v>
      </x:c>
      <x:c r="V126" s="76" t="str">
        <x:v>https://engagedscholarship.csuohio.edu/clevstlrev/vol68/iss4/6/</x:v>
      </x:c>
      <x:c r="W126" s="76" t="str"/>
      <x:c r="X126" s="94" t="n">
        <x:v>46230</x:v>
      </x:c>
      <x:c r="Y126" s="94" t="n">
        <x:v>46230</x:v>
      </x:c>
      <x:c r="Z126" s="76" t="str"/>
      <x:c r="AA126" s="76" t="str"/>
      <x:c r="AB126" s="76" t="n">
        <x:v>121</x:v>
      </x:c>
      <x:c r="AC126" s="76" t="str">
        <x:v>FOUNDATIONAL ANTECEDENT</x:v>
      </x:c>
      <x:c r="AD126" s="76" t="str">
        <x:v>MECHANISM / ADJACENT</x:v>
      </x:c>
      <x:c r="AE126" s="76" t="str">
        <x:v>NO</x:v>
      </x:c>
      <x:c r="AF126" s="76" t="str">
        <x:v>Disciplining public employees for lawful off-duty sexual activity</x:v>
      </x:c>
      <x:c r="AG126" s="76" t="str">
        <x:v>ABSTRACT ONLY</x:v>
      </x:c>
      <x:c r="AH126" s="76" t="str">
        <x:v>Quote: “public employees cannot be disciplined for their legal, off-duty sexual activity.”</x:v>
      </x:c>
      <x:c r="AI126" s="76" t="str">
        <x:v>Abstract</x:v>
      </x:c>
      <x:c r="AJ126" s="76" t="str">
        <x:v>https://engagedscholarship.csuohio.edu/clevstlrev/vol68/iss4/6/</x:v>
      </x:c>
      <x:c r="AK126" s="76" t="str">
        <x:v>NO EVIDENCE</x:v>
      </x:c>
      <x:c r="AL126" s="76" t="str"/>
      <x:c r="AM126" s="76" t="str"/>
      <x:c r="AN126" s="76" t="str"/>
      <x:c r="AO126" s="76" t="str"/>
      <x:c r="AP126" s="76" t="str">
        <x:v>Legal/privacy expansion research pass</x:v>
      </x:c>
      <x:c r="AQ126" s="76" t="str">
        <x:v>GORGONWARS-PREMISE-1.0</x:v>
      </x:c>
      <x:c r="AR126" s="76" t="str"/>
      <x:c r="AS126" s="82" t="str">
        <x:f>IF(A126="","",IF(OR(E126="NOT APPLICABLE",E126="PREMISES UNRESOLVED"),"N/A",IF(OR(AND(F126&lt;&gt;"NO EVIDENCE",F126&lt;&gt;"NOT APPLICABLE",OR(AG126="",AH126="",AI126="",AJ126="",AG126="SYSTEM INFERENCE",AG126="ABSTRACT ONLY",AG126="SECONDARY REPORT",AG126="UNVERIFIED",AI126="Exact locator needed",AI126="HAU forum framing; exact target locator needed",AI126="Forum exchange; exact locator needed")),AND(G126&lt;&gt;"NO EVIDENCE",G126&lt;&gt;"NOT APPLICABLE",OR(AK126="",AL126="",AM126="",AN126="",AK126="SYSTEM INFERENCE",AK126="ABSTRACT ONLY",AK126="SECONDARY REPORT",AK126="UNVERIFIED",AM126="Exact locator needed",AM126="HAU forum framing; exact target locator needed",AM126="Forum exchange; exact locator needed"))),"EVIDENCE DEBT","READY")))</x:f>
        <x:v>EVIDENCE DEBT</x:v>
      </x:c>
      <x:c r="AT126" s="77" t="str">
        <x:v>Added in legal, privacy, due-process, and public-shaming expansion.</x:v>
      </x:c>
    </x:row>
    <x:row r="127" ht="50" customHeight="1">
      <x:c r="A127" s="85" t="n">
        <x:v>122</x:v>
      </x:c>
      <x:c r="B127" s="73" t="str">
        <x:v>Active</x:v>
      </x:c>
      <x:c r="C127" s="89" t="n">
        <x:v>2</x:v>
      </x:c>
      <x:c r="D127" s="82" t="str">
        <x:f>IF(C127="","",IFERROR(VLOOKUP(C127,'Database controls'!$A$5:$B$20,2,FALSE),"NEW / UNCATEGORIZED"))</x:f>
        <x:v>Foundational public/private-boundary dissent</x:v>
      </x:c>
      <x:c r="E127" s="73" t="str">
        <x:v>OUTSIDE / EXCOMMUNICABLE</x:v>
      </x:c>
      <x:c r="F127" s="73" t="str">
        <x:v>REJECTS</x:v>
      </x:c>
      <x:c r="G127" s="73" t="str">
        <x:v>NO EVIDENCE</x:v>
      </x:c>
      <x:c r="H127" s="82" t="str">
        <x:f>IF(A127="","",IF(OR(F127="REJECTS",G127="REJECTS"),"OUTSIDE / EXCOMMUNICABLE",IF(AND(OR(F127="RETAINS",F127="RETAINS WITH QUALIFICATION"),OR(G127="RETAINS",G127="RETAINS WITH QUALIFICATION")),"INTERNAL GORGONWARS",IF(AND(F127="NOT APPLICABLE",G127="NOT APPLICABLE"),"NOT APPLICABLE","PREMISES UNRESOLVED"))))</x:f>
        <x:v>OUTSIDE / EXCOMMUNICABLE</x:v>
      </x:c>
      <x:c r="I127" s="82" t="str">
        <x:f>IF(A127="","",IF(E127=H127,"OK",IF(AO127&lt;&gt;"","OVERRIDDEN","REVIEW")))</x:f>
        <x:v>OK</x:v>
      </x:c>
      <x:c r="J127" s="73" t="str">
        <x:v>Pre-#MeToo theory of online shaming as a privacy violation</x:v>
      </x:c>
      <x:c r="K127" s="73" t="str">
        <x:v>Foundational antecedent</x:v>
      </x:c>
      <x:c r="L127" s="73" t="str">
        <x:v>Peer-reviewed journal article</x:v>
      </x:c>
      <x:c r="M127" s="73" t="str">
        <x:v>Peer-reviewed</x:v>
      </x:c>
      <x:c r="N127" s="89" t="n">
        <x:v>2017</x:v>
      </x:c>
      <x:c r="O127" s="73" t="str">
        <x:v>Emily B. Laidlaw</x:v>
      </x:c>
      <x:c r="P127" s="73" t="str">
        <x:v>Online Shaming and the Right to Privacy</x:v>
      </x:c>
      <x:c r="Q127" s="73" t="str">
        <x:v>Laws 6(1):3</x:v>
      </x:c>
      <x:c r="R127" s="73" t="str">
        <x:v>English</x:v>
      </x:c>
      <x:c r="S127" s="73" t="str">
        <x:v>Online crowds turn criticism into immediate, worldwide, permanent punishment, so even public information can retain a privacy claim.</x:v>
      </x:c>
      <x:c r="T127" s="73" t="str">
        <x:v>General and pre-#MeToo; establishes the mechanism rather than a movement-specific conclusion.</x:v>
      </x:c>
      <x:c r="U127" s="73" t="str">
        <x:v>Full text verified</x:v>
      </x:c>
      <x:c r="V127" s="73" t="str">
        <x:v>https://www.mdpi.com/2075-471X/6/1/3</x:v>
      </x:c>
      <x:c r="W127" s="73" t="str">
        <x:v>10.3390/laws6010003</x:v>
      </x:c>
      <x:c r="X127" s="93" t="n">
        <x:v>46230</x:v>
      </x:c>
      <x:c r="Y127" s="93" t="n">
        <x:v>46230</x:v>
      </x:c>
      <x:c r="Z127" s="73" t="str"/>
      <x:c r="AA127" s="73" t="str"/>
      <x:c r="AB127" s="73" t="n">
        <x:v>122</x:v>
      </x:c>
      <x:c r="AC127" s="73" t="str">
        <x:v>FOUNDATIONAL ANTECEDENT</x:v>
      </x:c>
      <x:c r="AD127" s="73" t="str">
        <x:v>MECHANISM / ADJACENT</x:v>
      </x:c>
      <x:c r="AE127" s="73" t="str">
        <x:v>NO</x:v>
      </x:c>
      <x:c r="AF127" s="73" t="str">
        <x:v>Borderless and permanent online publicity as disproportionate punishment</x:v>
      </x:c>
      <x:c r="AG127" s="73" t="str">
        <x:v>DIRECT EXPLICIT</x:v>
      </x:c>
      <x:c r="AH127" s="73" t="str">
        <x:v>Quote: online shaming can become a “brutal form of abuse.”</x:v>
      </x:c>
      <x:c r="AI127" s="73" t="str">
        <x:v>Abstract and body</x:v>
      </x:c>
      <x:c r="AJ127" s="73" t="str">
        <x:v>https://www.mdpi.com/2075-471X/6/1/3</x:v>
      </x:c>
      <x:c r="AK127" s="73" t="str">
        <x:v>NO EVIDENCE</x:v>
      </x:c>
      <x:c r="AL127" s="73" t="str"/>
      <x:c r="AM127" s="73" t="str"/>
      <x:c r="AN127" s="73" t="str"/>
      <x:c r="AO127" s="73" t="str"/>
      <x:c r="AP127" s="73" t="str">
        <x:v>Legal/privacy expansion research pass</x:v>
      </x:c>
      <x:c r="AQ127" s="73" t="str">
        <x:v>GORGONWARS-PREMISE-1.0</x:v>
      </x:c>
      <x:c r="AR127" s="73" t="str"/>
      <x:c r="AS127" s="82" t="str">
        <x:f>IF(A127="","",IF(OR(E127="NOT APPLICABLE",E127="PREMISES UNRESOLVED"),"N/A",IF(OR(AND(F127&lt;&gt;"NO EVIDENCE",F127&lt;&gt;"NOT APPLICABLE",OR(AG127="",AH127="",AI127="",AJ127="",AG127="SYSTEM INFERENCE",AG127="ABSTRACT ONLY",AG127="SECONDARY REPORT",AG127="UNVERIFIED",AI127="Exact locator needed",AI127="HAU forum framing; exact target locator needed",AI127="Forum exchange; exact locator needed")),AND(G127&lt;&gt;"NO EVIDENCE",G127&lt;&gt;"NOT APPLICABLE",OR(AK127="",AL127="",AM127="",AN127="",AK127="SYSTEM INFERENCE",AK127="ABSTRACT ONLY",AK127="SECONDARY REPORT",AK127="UNVERIFIED",AM127="Exact locator needed",AM127="HAU forum framing; exact target locator needed",AM127="Forum exchange; exact locator needed"))),"EVIDENCE DEBT","READY")))</x:f>
        <x:v>READY</x:v>
      </x:c>
      <x:c r="AT127" s="74" t="str">
        <x:v>Added in legal, privacy, due-process, and public-shaming expansion.</x:v>
      </x:c>
    </x:row>
    <x:row r="128" ht="50" customHeight="1">
      <x:c r="A128" s="86" t="n">
        <x:v>123</x:v>
      </x:c>
      <x:c r="B128" s="76" t="str">
        <x:v>Provisional</x:v>
      </x:c>
      <x:c r="C128" s="90" t="n">
        <x:v>6</x:v>
      </x:c>
      <x:c r="D128" s="82" t="str">
        <x:f>IF(C128="","",IFERROR(VLOOKUP(C128,'Database controls'!$A$5:$B$20,2,FALSE),"NEW / UNCATEGORIZED"))</x:f>
        <x:v>Due process, punishment, and procedural limits</x:v>
      </x:c>
      <x:c r="E128" s="76" t="str">
        <x:v>OUTSIDE / EXCOMMUNICABLE</x:v>
      </x:c>
      <x:c r="F128" s="76" t="str">
        <x:v>REJECTS</x:v>
      </x:c>
      <x:c r="G128" s="76" t="str">
        <x:v>NO EVIDENCE</x:v>
      </x:c>
      <x:c r="H128" s="82" t="str">
        <x:f>IF(A128="","",IF(OR(F128="REJECTS",G128="REJECTS"),"OUTSIDE / EXCOMMUNICABLE",IF(AND(OR(F128="RETAINS",F128="RETAINS WITH QUALIFICATION"),OR(G128="RETAINS",G128="RETAINS WITH QUALIFICATION")),"INTERNAL GORGONWARS",IF(AND(F128="NOT APPLICABLE",G128="NOT APPLICABLE"),"NOT APPLICABLE","PREMISES UNRESOLVED"))))</x:f>
        <x:v>OUTSIDE / EXCOMMUNICABLE</x:v>
      </x:c>
      <x:c r="I128" s="82" t="str">
        <x:f>IF(A128="","",IF(E128=H128,"OK",IF(AO128&lt;&gt;"","OVERRIDDEN","REVIEW")))</x:f>
        <x:v>OK</x:v>
      </x:c>
      <x:c r="J128" s="76" t="str">
        <x:v>General account of social media’s drift toward disintegrative public shame</x:v>
      </x:c>
      <x:c r="K128" s="76" t="str">
        <x:v>Movement-adjacent</x:v>
      </x:c>
      <x:c r="L128" s="76" t="str">
        <x:v>Peer-reviewed journal article</x:v>
      </x:c>
      <x:c r="M128" s="76" t="str">
        <x:v>Peer-reviewed</x:v>
      </x:c>
      <x:c r="N128" s="90" t="n">
        <x:v>2022</x:v>
      </x:c>
      <x:c r="O128" s="76" t="str">
        <x:v>Harrison Frye</x:v>
      </x:c>
      <x:c r="P128" s="76" t="str">
        <x:v>The Technology of Public Shaming</x:v>
      </x:c>
      <x:c r="Q128" s="76" t="str">
        <x:v>Social Philosophy and Policy</x:v>
      </x:c>
      <x:c r="R128" s="76" t="str">
        <x:v>English</x:v>
      </x:c>
      <x:c r="S128" s="76" t="str">
        <x:v>Platforms turn norm enforcement into exclusionary shame that corrodes the cooperation moral correction was supposed to restore.</x:v>
      </x:c>
      <x:c r="T128" s="76" t="str">
        <x:v>General public-shaming theory with no verified dedicated #MeToo analysis.</x:v>
      </x:c>
      <x:c r="U128" s="76" t="str">
        <x:v>Abstract only</x:v>
      </x:c>
      <x:c r="V128" s="76" t="str">
        <x:v>https://www.cambridge.org/core/journals/social-philosophy-and-policy/article/abs/technology-of-public-shaming/E7EFEDC1D9D7C628BAB0FC940D8D81C5</x:v>
      </x:c>
      <x:c r="W128" s="76" t="str"/>
      <x:c r="X128" s="94" t="n">
        <x:v>46230</x:v>
      </x:c>
      <x:c r="Y128" s="94" t="n">
        <x:v>46230</x:v>
      </x:c>
      <x:c r="Z128" s="76" t="str"/>
      <x:c r="AA128" s="76" t="str"/>
      <x:c r="AB128" s="76" t="n">
        <x:v>123</x:v>
      </x:c>
      <x:c r="AC128" s="76" t="str">
        <x:v>ADJACENT CONTEXT</x:v>
      </x:c>
      <x:c r="AD128" s="76" t="str">
        <x:v>MECHANISM / ADJACENT</x:v>
      </x:c>
      <x:c r="AE128" s="76" t="str">
        <x:v>ADJACENT</x:v>
      </x:c>
      <x:c r="AF128" s="76" t="str">
        <x:v>Disintegrative shame generated by social-media public punishment</x:v>
      </x:c>
      <x:c r="AG128" s="76" t="str">
        <x:v>ABSTRACT ONLY</x:v>
      </x:c>
      <x:c r="AH128" s="76" t="str">
        <x:v>Quote: social media “drifts toward disintegrative shame, which tends to corrode cooperation.”</x:v>
      </x:c>
      <x:c r="AI128" s="76" t="str">
        <x:v>Abstract</x:v>
      </x:c>
      <x:c r="AJ128" s="76" t="str">
        <x:v>https://www.cambridge.org/core/journals/social-philosophy-and-policy/article/abs/technology-of-public-shaming/E7EFEDC1D9D7C628BAB0FC940D8D81C5</x:v>
      </x:c>
      <x:c r="AK128" s="76" t="str">
        <x:v>NO EVIDENCE</x:v>
      </x:c>
      <x:c r="AL128" s="76" t="str"/>
      <x:c r="AM128" s="76" t="str"/>
      <x:c r="AN128" s="76" t="str"/>
      <x:c r="AO128" s="76" t="str"/>
      <x:c r="AP128" s="76" t="str">
        <x:v>Legal/privacy expansion research pass</x:v>
      </x:c>
      <x:c r="AQ128" s="76" t="str">
        <x:v>GORGONWARS-PREMISE-1.0</x:v>
      </x:c>
      <x:c r="AR128" s="76" t="str"/>
      <x:c r="AS128" s="82" t="str">
        <x:f>IF(A128="","",IF(OR(E128="NOT APPLICABLE",E128="PREMISES UNRESOLVED"),"N/A",IF(OR(AND(F128&lt;&gt;"NO EVIDENCE",F128&lt;&gt;"NOT APPLICABLE",OR(AG128="",AH128="",AI128="",AJ128="",AG128="SYSTEM INFERENCE",AG128="ABSTRACT ONLY",AG128="SECONDARY REPORT",AG128="UNVERIFIED",AI128="Exact locator needed",AI128="HAU forum framing; exact target locator needed",AI128="Forum exchange; exact locator needed")),AND(G128&lt;&gt;"NO EVIDENCE",G128&lt;&gt;"NOT APPLICABLE",OR(AK128="",AL128="",AM128="",AN128="",AK128="SYSTEM INFERENCE",AK128="ABSTRACT ONLY",AK128="SECONDARY REPORT",AK128="UNVERIFIED",AM128="Exact locator needed",AM128="HAU forum framing; exact target locator needed",AM128="Forum exchange; exact locator needed"))),"EVIDENCE DEBT","READY")))</x:f>
        <x:v>EVIDENCE DEBT</x:v>
      </x:c>
      <x:c r="AT128" s="77" t="str">
        <x:v>Added in legal, privacy, due-process, and public-shaming expansion.</x:v>
      </x:c>
    </x:row>
    <x:row r="129" ht="50" customHeight="1">
      <x:c r="A129" s="85" t="n">
        <x:v>124</x:v>
      </x:c>
      <x:c r="B129" s="73" t="str">
        <x:v>Provisional</x:v>
      </x:c>
      <x:c r="C129" s="89" t="n">
        <x:v>6</x:v>
      </x:c>
      <x:c r="D129" s="82" t="str">
        <x:f>IF(C129="","",IFERROR(VLOOKUP(C129,'Database controls'!$A$5:$B$20,2,FALSE),"NEW / UNCATEGORIZED"))</x:f>
        <x:v>Due process, punishment, and procedural limits</x:v>
      </x:c>
      <x:c r="E129" s="73" t="str">
        <x:v>OUTSIDE / EXCOMMUNICABLE</x:v>
      </x:c>
      <x:c r="F129" s="73" t="str">
        <x:v>REJECTS</x:v>
      </x:c>
      <x:c r="G129" s="73" t="str">
        <x:v>NO EVIDENCE</x:v>
      </x:c>
      <x:c r="H129" s="82" t="str">
        <x:f>IF(A129="","",IF(OR(F129="REJECTS",G129="REJECTS"),"OUTSIDE / EXCOMMUNICABLE",IF(AND(OR(F129="RETAINS",F129="RETAINS WITH QUALIFICATION"),OR(G129="RETAINS",G129="RETAINS WITH QUALIFICATION")),"INTERNAL GORGONWARS",IF(AND(F129="NOT APPLICABLE",G129="NOT APPLICABLE"),"NOT APPLICABLE","PREMISES UNRESOLVED"))))</x:f>
        <x:v>OUTSIDE / EXCOMMUNICABLE</x:v>
      </x:c>
      <x:c r="I129" s="82" t="str">
        <x:f>IF(A129="","",IF(E129=H129,"OK",IF(AO129&lt;&gt;"","OVERRIDDEN","REVIEW")))</x:f>
        <x:v>OK</x:v>
      </x:c>
      <x:c r="J129" s="73" t="str">
        <x:v>Platform-duty and regulation argument against wrongful online public shaming</x:v>
      </x:c>
      <x:c r="K129" s="73" t="str">
        <x:v>Movement-adjacent</x:v>
      </x:c>
      <x:c r="L129" s="73" t="str">
        <x:v>Peer-reviewed journal article</x:v>
      </x:c>
      <x:c r="M129" s="73" t="str">
        <x:v>Peer-reviewed</x:v>
      </x:c>
      <x:c r="N129" s="89" t="n">
        <x:v>2026</x:v>
      </x:c>
      <x:c r="O129" s="73" t="str">
        <x:v>Paul Billingham and Tom Parr</x:v>
      </x:c>
      <x:c r="P129" s="73" t="str">
        <x:v>Online Public Shaming, the Duties of Social Media Platforms, and the Case for Regulation</x:v>
      </x:c>
      <x:c r="Q129" s="73" t="str">
        <x:v>Philosophy &amp; Technology 39:24</x:v>
      </x:c>
      <x:c r="R129" s="73" t="str">
        <x:v>English</x:v>
      </x:c>
      <x:c r="S129" s="73" t="str">
        <x:v>Because platforms predictably magnify wrongful and disproportionate shaming, they have duties to reduce it and regulation can enforce those duties.</x:v>
      </x:c>
      <x:c r="T129" s="73" t="str">
        <x:v>Not #MeToo-specific; regulates damaging effects rather than rejecting every public call-out.</x:v>
      </x:c>
      <x:c r="U129" s="73" t="str">
        <x:v>Abstract only</x:v>
      </x:c>
      <x:c r="V129" s="73" t="str">
        <x:v>https://link.springer.com/article/10.1007/s13347-025-01031-y</x:v>
      </x:c>
      <x:c r="W129" s="73" t="str">
        <x:v>10.1007/s13347-025-01031-y</x:v>
      </x:c>
      <x:c r="X129" s="93" t="n">
        <x:v>46230</x:v>
      </x:c>
      <x:c r="Y129" s="93" t="n">
        <x:v>46230</x:v>
      </x:c>
      <x:c r="Z129" s="73" t="str"/>
      <x:c r="AA129" s="73" t="str"/>
      <x:c r="AB129" s="73" t="n">
        <x:v>124</x:v>
      </x:c>
      <x:c r="AC129" s="73" t="str">
        <x:v>ADJACENT CONTEXT</x:v>
      </x:c>
      <x:c r="AD129" s="73" t="str">
        <x:v>MECHANISM / ADJACENT</x:v>
      </x:c>
      <x:c r="AE129" s="73" t="str">
        <x:v>ADJACENT</x:v>
      </x:c>
      <x:c r="AF129" s="73" t="str">
        <x:v>Platform amplification of wrongful and disproportionate public shaming</x:v>
      </x:c>
      <x:c r="AG129" s="73" t="str">
        <x:v>ABSTRACT ONLY</x:v>
      </x:c>
      <x:c r="AH129" s="73" t="str">
        <x:v>Quote: targets “often suffer disproportionate harms and face abuse, doxing.”</x:v>
      </x:c>
      <x:c r="AI129" s="73" t="str">
        <x:v>Abstract</x:v>
      </x:c>
      <x:c r="AJ129" s="73" t="str">
        <x:v>https://link.springer.com/article/10.1007/s13347-025-01031-y</x:v>
      </x:c>
      <x:c r="AK129" s="73" t="str">
        <x:v>NO EVIDENCE</x:v>
      </x:c>
      <x:c r="AL129" s="73" t="str"/>
      <x:c r="AM129" s="73" t="str"/>
      <x:c r="AN129" s="73" t="str"/>
      <x:c r="AO129" s="73" t="str"/>
      <x:c r="AP129" s="73" t="str">
        <x:v>Legal/privacy expansion research pass</x:v>
      </x:c>
      <x:c r="AQ129" s="73" t="str">
        <x:v>GORGONWARS-PREMISE-1.0</x:v>
      </x:c>
      <x:c r="AR129" s="73" t="str"/>
      <x:c r="AS129" s="82" t="str">
        <x:f>IF(A129="","",IF(OR(E129="NOT APPLICABLE",E129="PREMISES UNRESOLVED"),"N/A",IF(OR(AND(F129&lt;&gt;"NO EVIDENCE",F129&lt;&gt;"NOT APPLICABLE",OR(AG129="",AH129="",AI129="",AJ129="",AG129="SYSTEM INFERENCE",AG129="ABSTRACT ONLY",AG129="SECONDARY REPORT",AG129="UNVERIFIED",AI129="Exact locator needed",AI129="HAU forum framing; exact target locator needed",AI129="Forum exchange; exact locator needed")),AND(G129&lt;&gt;"NO EVIDENCE",G129&lt;&gt;"NOT APPLICABLE",OR(AK129="",AL129="",AM129="",AN129="",AK129="SYSTEM INFERENCE",AK129="ABSTRACT ONLY",AK129="SECONDARY REPORT",AK129="UNVERIFIED",AM129="Exact locator needed",AM129="HAU forum framing; exact target locator needed",AM129="Forum exchange; exact locator needed"))),"EVIDENCE DEBT","READY")))</x:f>
        <x:v>EVIDENCE DEBT</x:v>
      </x:c>
      <x:c r="AT129" s="74" t="str">
        <x:v>Added in legal, privacy, due-process, and public-shaming expansion.</x:v>
      </x:c>
    </x:row>
    <x:row r="130" ht="50" customHeight="1">
      <x:c r="A130" s="86" t="n">
        <x:v>125</x:v>
      </x:c>
      <x:c r="B130" s="76" t="str">
        <x:v>Provisional</x:v>
      </x:c>
      <x:c r="C130" s="90" t="n">
        <x:v>6</x:v>
      </x:c>
      <x:c r="D130" s="82" t="str">
        <x:f>IF(C130="","",IFERROR(VLOOKUP(C130,'Database controls'!$A$5:$B$20,2,FALSE),"NEW / UNCATEGORIZED"))</x:f>
        <x:v>Due process, punishment, and procedural limits</x:v>
      </x:c>
      <x:c r="E130" s="76" t="str">
        <x:v>OUTSIDE / EXCOMMUNICABLE</x:v>
      </x:c>
      <x:c r="F130" s="76" t="str">
        <x:v>REJECTS</x:v>
      </x:c>
      <x:c r="G130" s="76" t="str">
        <x:v>NO EVIDENCE</x:v>
      </x:c>
      <x:c r="H130" s="82" t="str">
        <x:f>IF(A130="","",IF(OR(F130="REJECTS",G130="REJECTS"),"OUTSIDE / EXCOMMUNICABLE",IF(AND(OR(F130="RETAINS",F130="RETAINS WITH QUALIFICATION"),OR(G130="RETAINS",G130="RETAINS WITH QUALIFICATION")),"INTERNAL GORGONWARS",IF(AND(F130="NOT APPLICABLE",G130="NOT APPLICABLE"),"NOT APPLICABLE","PREMISES UNRESOLVED"))))</x:f>
        <x:v>OUTSIDE / EXCOMMUNICABLE</x:v>
      </x:c>
      <x:c r="I130" s="82" t="str">
        <x:f>IF(A130="","",IF(E130=H130,"OK",IF(AO130&lt;&gt;"","OVERRIDDEN","REVIEW")))</x:f>
        <x:v>OK</x:v>
      </x:c>
      <x:c r="J130" s="76" t="str">
        <x:v>Chilean criminal-law analysis of dangerous personal-data exposure through funas and doxing</x:v>
      </x:c>
      <x:c r="K130" s="76" t="str">
        <x:v>Movement-adjacent</x:v>
      </x:c>
      <x:c r="L130" s="76" t="str">
        <x:v>Peer-reviewed journal article</x:v>
      </x:c>
      <x:c r="M130" s="76" t="str">
        <x:v>Peer-reviewed</x:v>
      </x:c>
      <x:c r="N130" s="90" t="n">
        <x:v>2024</x:v>
      </x:c>
      <x:c r="O130" s="76" t="str">
        <x:v>Alejandra Castillo Ara</x:v>
      </x:c>
      <x:c r="P130" s="76" t="str">
        <x:v>Punitivismo digital: La exposición peligrosa de datos personales como delito</x:v>
      </x:c>
      <x:c r="Q130" s="76" t="str">
        <x:v>Revista Chilena de Derecho y Tecnología 13:1–33</x:v>
      </x:c>
      <x:c r="R130" s="76" t="str">
        <x:v>Spanish</x:v>
      </x:c>
      <x:c r="S130" s="76" t="str">
        <x:v>Digital denunciation can itself become punishable harm when exposure of personal data endangers bodily, sexual, reputational, or informational autonomy.</x:v>
      </x:c>
      <x:c r="T130" s="76" t="str">
        <x:v>Not specifically #MeToo; doctrinal criminal-law treatment of funas and doxing.</x:v>
      </x:c>
      <x:c r="U130" s="76" t="str">
        <x:v>Abstract only</x:v>
      </x:c>
      <x:c r="V130" s="76" t="str">
        <x:v>https://rchdt.uchile.cl/index.php/RCHDT/article/view/73276</x:v>
      </x:c>
      <x:c r="W130" s="76" t="str">
        <x:v>10.5354/0719-2584.2024.73276</x:v>
      </x:c>
      <x:c r="X130" s="94" t="n">
        <x:v>46230</x:v>
      </x:c>
      <x:c r="Y130" s="94" t="n">
        <x:v>46230</x:v>
      </x:c>
      <x:c r="Z130" s="76" t="str"/>
      <x:c r="AA130" s="76" t="str"/>
      <x:c r="AB130" s="76" t="n">
        <x:v>125</x:v>
      </x:c>
      <x:c r="AC130" s="76" t="str">
        <x:v>ADJACENT CONTEXT</x:v>
      </x:c>
      <x:c r="AD130" s="76" t="str">
        <x:v>MECHANISM / ADJACENT</x:v>
      </x:c>
      <x:c r="AE130" s="76" t="str">
        <x:v>ADJACENT</x:v>
      </x:c>
      <x:c r="AF130" s="76" t="str">
        <x:v>Dangerous exposure of personal data through funas and doxing</x:v>
      </x:c>
      <x:c r="AG130" s="76" t="str">
        <x:v>ABSTRACT ONLY</x:v>
      </x:c>
      <x:c r="AH130" s="76" t="str">
        <x:v>Paraphrase: Funas and doxing can endanger life, physical integrity, sexual freedom, honor, and informational self-determination.</x:v>
      </x:c>
      <x:c r="AI130" s="76" t="str">
        <x:v>Abstract</x:v>
      </x:c>
      <x:c r="AJ130" s="76" t="str">
        <x:v>https://rchdt.uchile.cl/index.php/RCHDT/article/view/73276</x:v>
      </x:c>
      <x:c r="AK130" s="76" t="str">
        <x:v>NO EVIDENCE</x:v>
      </x:c>
      <x:c r="AL130" s="76" t="str"/>
      <x:c r="AM130" s="76" t="str"/>
      <x:c r="AN130" s="76" t="str"/>
      <x:c r="AO130" s="76" t="str"/>
      <x:c r="AP130" s="76" t="str">
        <x:v>Legal/privacy expansion research pass</x:v>
      </x:c>
      <x:c r="AQ130" s="76" t="str">
        <x:v>GORGONWARS-PREMISE-1.0</x:v>
      </x:c>
      <x:c r="AR130" s="76" t="str"/>
      <x:c r="AS130" s="82" t="str">
        <x:f>IF(A130="","",IF(OR(E130="NOT APPLICABLE",E130="PREMISES UNRESOLVED"),"N/A",IF(OR(AND(F130&lt;&gt;"NO EVIDENCE",F130&lt;&gt;"NOT APPLICABLE",OR(AG130="",AH130="",AI130="",AJ130="",AG130="SYSTEM INFERENCE",AG130="ABSTRACT ONLY",AG130="SECONDARY REPORT",AG130="UNVERIFIED",AI130="Exact locator needed",AI130="HAU forum framing; exact target locator needed",AI130="Forum exchange; exact locator needed")),AND(G130&lt;&gt;"NO EVIDENCE",G130&lt;&gt;"NOT APPLICABLE",OR(AK130="",AL130="",AM130="",AN130="",AK130="SYSTEM INFERENCE",AK130="ABSTRACT ONLY",AK130="SECONDARY REPORT",AK130="UNVERIFIED",AM130="Exact locator needed",AM130="HAU forum framing; exact target locator needed",AM130="Forum exchange; exact locator needed"))),"EVIDENCE DEBT","READY")))</x:f>
        <x:v>EVIDENCE DEBT</x:v>
      </x:c>
      <x:c r="AT130" s="77" t="str">
        <x:v>Added in legal, privacy, due-process, and public-shaming expansion.</x:v>
      </x:c>
    </x:row>
    <x:row r="131" ht="50" customHeight="1">
      <x:c r="A131" s="85" t="n">
        <x:v>126</x:v>
      </x:c>
      <x:c r="B131" s="73" t="str">
        <x:v>Provisional</x:v>
      </x:c>
      <x:c r="C131" s="89" t="n">
        <x:v>6</x:v>
      </x:c>
      <x:c r="D131" s="82" t="str">
        <x:f>IF(C131="","",IFERROR(VLOOKUP(C131,'Database controls'!$A$5:$B$20,2,FALSE),"NEW / UNCATEGORIZED"))</x:f>
        <x:v>Due process, punishment, and procedural limits</x:v>
      </x:c>
      <x:c r="E131" s="73" t="str">
        <x:v>OUTSIDE / EXCOMMUNICABLE</x:v>
      </x:c>
      <x:c r="F131" s="73" t="str">
        <x:v>REJECTS</x:v>
      </x:c>
      <x:c r="G131" s="73" t="str">
        <x:v>NO EVIDENCE</x:v>
      </x:c>
      <x:c r="H131" s="82" t="str">
        <x:f>IF(A131="","",IF(OR(F131="REJECTS",G131="REJECTS"),"OUTSIDE / EXCOMMUNICABLE",IF(AND(OR(F131="RETAINS",F131="RETAINS WITH QUALIFICATION"),OR(G131="RETAINS",G131="RETAINS WITH QUALIFICATION")),"INTERNAL GORGONWARS",IF(AND(F131="NOT APPLICABLE",G131="NOT APPLICABLE"),"NOT APPLICABLE","PREMISES UNRESOLVED"))))</x:f>
        <x:v>OUTSIDE / EXCOMMUNICABLE</x:v>
      </x:c>
      <x:c r="I131" s="82" t="str">
        <x:f>IF(A131="","",IF(E131=H131,"OK",IF(AO131&lt;&gt;"","OVERRIDDEN","REVIEW")))</x:f>
        <x:v>OK</x:v>
      </x:c>
      <x:c r="J131" s="73" t="str">
        <x:v>Criminal-law critique of disproportionate noninstitutional online cancellation</x:v>
      </x:c>
      <x:c r="K131" s="73" t="str">
        <x:v>Movement-adjacent</x:v>
      </x:c>
      <x:c r="L131" s="73" t="str">
        <x:v>Peer-reviewed journal article</x:v>
      </x:c>
      <x:c r="M131" s="73" t="str">
        <x:v>Peer-reviewed</x:v>
      </x:c>
      <x:c r="N131" s="89" t="n">
        <x:v>2021</x:v>
      </x:c>
      <x:c r="O131" s="73" t="str">
        <x:v>Karen Isabel Cabrera Peña and Carlos Alberto Jiménez Cabarcas</x:v>
      </x:c>
      <x:c r="P131" s="73" t="str">
        <x:v>La cultura de la cancelación en redes sociales: Un reproche peligroso e injusto a la luz de los principios del derecho penal</x:v>
      </x:c>
      <x:c r="Q131" s="73" t="str">
        <x:v>Revista Chilena de Derecho y Tecnología 10(2):277–300</x:v>
      </x:c>
      <x:c r="R131" s="73" t="str">
        <x:v>Spanish</x:v>
      </x:c>
      <x:c r="S131" s="73" t="str">
        <x:v>Online cancellation may help minorities speak, but it becomes unjust when crowds impose disproportionate punishment for conduct that is not even criminal.</x:v>
      </x:c>
      <x:c r="T131" s="73" t="str">
        <x:v>General cancel-culture article rather than a dedicated #MeToo or sexual-allegation study.</x:v>
      </x:c>
      <x:c r="U131" s="73" t="str">
        <x:v>Abstract only</x:v>
      </x:c>
      <x:c r="V131" s="73" t="str">
        <x:v>https://rchdt.uchile.cl/index.php/RCHDT/article/view/60421</x:v>
      </x:c>
      <x:c r="W131" s="73" t="str">
        <x:v>10.5354/0719-2584.2021.60421</x:v>
      </x:c>
      <x:c r="X131" s="93" t="n">
        <x:v>46230</x:v>
      </x:c>
      <x:c r="Y131" s="93" t="n">
        <x:v>46230</x:v>
      </x:c>
      <x:c r="Z131" s="73" t="str"/>
      <x:c r="AA131" s="73" t="str"/>
      <x:c r="AB131" s="73" t="n">
        <x:v>126</x:v>
      </x:c>
      <x:c r="AC131" s="73" t="str">
        <x:v>ADJACENT CONTEXT</x:v>
      </x:c>
      <x:c r="AD131" s="73" t="str">
        <x:v>MECHANISM / ADJACENT</x:v>
      </x:c>
      <x:c r="AE131" s="73" t="str">
        <x:v>ADJACENT</x:v>
      </x:c>
      <x:c r="AF131" s="73" t="str">
        <x:v>Disproportionate noninstitutional punishment for noncriminal disapproved conduct</x:v>
      </x:c>
      <x:c r="AG131" s="73" t="str">
        <x:v>ABSTRACT ONLY</x:v>
      </x:c>
      <x:c r="AH131" s="73" t="str">
        <x:v>Translated paraphrase: cancellation is a noninstitutionalized way to regulate justice disproportionately and violates the target’s minimum rights.</x:v>
      </x:c>
      <x:c r="AI131" s="73" t="str">
        <x:v>Abstract</x:v>
      </x:c>
      <x:c r="AJ131" s="73" t="str">
        <x:v>https://rchdt.uchile.cl/index.php/RCHDT/article/view/60421</x:v>
      </x:c>
      <x:c r="AK131" s="73" t="str">
        <x:v>NO EVIDENCE</x:v>
      </x:c>
      <x:c r="AL131" s="73" t="str"/>
      <x:c r="AM131" s="73" t="str"/>
      <x:c r="AN131" s="73" t="str"/>
      <x:c r="AO131" s="73" t="str"/>
      <x:c r="AP131" s="73" t="str">
        <x:v>Legal/privacy expansion research pass</x:v>
      </x:c>
      <x:c r="AQ131" s="73" t="str">
        <x:v>GORGONWARS-PREMISE-1.0</x:v>
      </x:c>
      <x:c r="AR131" s="73" t="str"/>
      <x:c r="AS131" s="82" t="str">
        <x:f>IF(A131="","",IF(OR(E131="NOT APPLICABLE",E131="PREMISES UNRESOLVED"),"N/A",IF(OR(AND(F131&lt;&gt;"NO EVIDENCE",F131&lt;&gt;"NOT APPLICABLE",OR(AG131="",AH131="",AI131="",AJ131="",AG131="SYSTEM INFERENCE",AG131="ABSTRACT ONLY",AG131="SECONDARY REPORT",AG131="UNVERIFIED",AI131="Exact locator needed",AI131="HAU forum framing; exact target locator needed",AI131="Forum exchange; exact locator needed")),AND(G131&lt;&gt;"NO EVIDENCE",G131&lt;&gt;"NOT APPLICABLE",OR(AK131="",AL131="",AM131="",AN131="",AK131="SYSTEM INFERENCE",AK131="ABSTRACT ONLY",AK131="SECONDARY REPORT",AK131="UNVERIFIED",AM131="Exact locator needed",AM131="HAU forum framing; exact target locator needed",AM131="Forum exchange; exact locator needed"))),"EVIDENCE DEBT","READY")))</x:f>
        <x:v>EVIDENCE DEBT</x:v>
      </x:c>
      <x:c r="AT131" s="74" t="str">
        <x:v>Added in legal, privacy, due-process, and public-shaming expansion.</x:v>
      </x:c>
    </x:row>
    <x:row r="132" ht="50" customHeight="1">
      <x:c r="A132" s="86" t="n">
        <x:v>127</x:v>
      </x:c>
      <x:c r="B132" s="76" t="str">
        <x:v>Provisional</x:v>
      </x:c>
      <x:c r="C132" s="90" t="n">
        <x:v>3</x:v>
      </x:c>
      <x:c r="D132" s="82" t="str">
        <x:f>IF(C132="","",IFERROR(VLOOKUP(C132,'Database controls'!$A$5:$B$20,2,FALSE),"NEW / UNCATEGORIZED"))</x:f>
        <x:v>PIP-retaining public/private reconstruction and internal control</x:v>
      </x:c>
      <x:c r="E132" s="76" t="str">
        <x:v>PREMISES UNRESOLVED</x:v>
      </x:c>
      <x:c r="F132" s="76" t="str">
        <x:v>RETAINS WITH QUALIFICATION</x:v>
      </x:c>
      <x:c r="G132" s="76" t="str">
        <x:v>NO EVIDENCE</x:v>
      </x:c>
      <x:c r="H132" s="82" t="str">
        <x:f>IF(A132="","",IF(OR(F132="REJECTS",G132="REJECTS"),"OUTSIDE / EXCOMMUNICABLE",IF(AND(OR(F132="RETAINS",F132="RETAINS WITH QUALIFICATION"),OR(G132="RETAINS",G132="RETAINS WITH QUALIFICATION")),"INTERNAL GORGONWARS",IF(AND(F132="NOT APPLICABLE",G132="NOT APPLICABLE"),"NOT APPLICABLE","PREMISES UNRESOLVED"))))</x:f>
        <x:v>PREMISES UNRESOLVED</x:v>
      </x:c>
      <x:c r="I132" s="82" t="str">
        <x:f>IF(A132="","",IF(E132=H132,"OK",IF(AO132&lt;&gt;"","OVERRIDDEN","REVIEW")))</x:f>
        <x:v>OK</x:v>
      </x:c>
      <x:c r="J132" s="76" t="str">
        <x:v>Supportive #MeToo-era privacy accommodation for sexual-misconduct plaintiffs</x:v>
      </x:c>
      <x:c r="K132" s="76" t="str">
        <x:v>Direct #MeToo defense / internal reply</x:v>
      </x:c>
      <x:c r="L132" s="76" t="str">
        <x:v>Law review article</x:v>
      </x:c>
      <x:c r="M132" s="76" t="str">
        <x:v>Law review / editorial review</x:v>
      </x:c>
      <x:c r="N132" s="90" t="n">
        <x:v>2020</x:v>
      </x:c>
      <x:c r="O132" s="76" t="str">
        <x:v>Jayne S. Ressler</x:v>
      </x:c>
      <x:c r="P132" s="76" t="str">
        <x:v>Anonymous Plaintiffs and Sexual Misconduct</x:v>
      </x:c>
      <x:c r="Q132" s="76" t="str">
        <x:v>Seton Hall Law Review 50:955–1004</x:v>
      </x:c>
      <x:c r="R132" s="76" t="str">
        <x:v>English</x:v>
      </x:c>
      <x:c r="S132" s="76" t="str">
        <x:v>People should not have to permanently expose their identities in order to seek public legal redress for sexual misconduct.</x:v>
      </x:c>
      <x:c r="T132" s="76" t="str">
        <x:v>Accommodates #MeToo-era claims rather than criticizing them; no evidence establishes rejection of either foundational premise.</x:v>
      </x:c>
      <x:c r="U132" s="76" t="str">
        <x:v>Source record verified</x:v>
      </x:c>
      <x:c r="V132" s="76" t="str">
        <x:v>https://scholarship.shu.edu/shlr/vol50/iss4/2/</x:v>
      </x:c>
      <x:c r="W132" s="76" t="str"/>
      <x:c r="X132" s="94" t="n">
        <x:v>46230</x:v>
      </x:c>
      <x:c r="Y132" s="94" t="n">
        <x:v>46230</x:v>
      </x:c>
      <x:c r="Z132" s="76" t="str">
        <x:v>Control row: does not meet the strict premise-rejection rule.</x:v>
      </x:c>
      <x:c r="AA132" s="76" t="str"/>
      <x:c r="AB132" s="76" t="n">
        <x:v>127</x:v>
      </x:c>
      <x:c r="AC132" s="76" t="str">
        <x:v>DEFENSE / INTERNAL REPLY</x:v>
      </x:c>
      <x:c r="AD132" s="76" t="str">
        <x:v>DEFENSE</x:v>
      </x:c>
      <x:c r="AE132" s="76" t="str">
        <x:v>YES</x:v>
      </x:c>
      <x:c r="AF132" s="76" t="str">
        <x:v>Compulsory identity disclosure by sexual-misconduct plaintiffs</x:v>
      </x:c>
      <x:c r="AG132" s="76" t="str">
        <x:v>DIRECT ENTAILMENT</x:v>
      </x:c>
      <x:c r="AH132" s="76" t="str">
        <x:v>Paraphrase: Sexual-misconduct plaintiffs should sometimes be permitted to pursue public civil actions anonymously.</x:v>
      </x:c>
      <x:c r="AI132" s="76" t="str">
        <x:v>Abstract and repository summary</x:v>
      </x:c>
      <x:c r="AJ132" s="76" t="str">
        <x:v>https://scholarship.shu.edu/shlr/vol50/iss4/2/</x:v>
      </x:c>
      <x:c r="AK132" s="76" t="str">
        <x:v>NO EVIDENCE</x:v>
      </x:c>
      <x:c r="AL132" s="76" t="str"/>
      <x:c r="AM132" s="76" t="str"/>
      <x:c r="AN132" s="76" t="str"/>
      <x:c r="AO132" s="76" t="str"/>
      <x:c r="AP132" s="76" t="str">
        <x:v>Legal/privacy expansion research pass</x:v>
      </x:c>
      <x:c r="AQ132" s="76" t="str">
        <x:v>GORGONWARS-PREMISE-1.0</x:v>
      </x:c>
      <x:c r="AR132" s="76" t="str"/>
      <x:c r="AS132" s="82" t="str">
        <x:f>IF(A132="","",IF(OR(E132="NOT APPLICABLE",E132="PREMISES UNRESOLVED"),"N/A",IF(OR(AND(F132&lt;&gt;"NO EVIDENCE",F132&lt;&gt;"NOT APPLICABLE",OR(AG132="",AH132="",AI132="",AJ132="",AG132="SYSTEM INFERENCE",AG132="ABSTRACT ONLY",AG132="SECONDARY REPORT",AG132="UNVERIFIED",AI132="Exact locator needed",AI132="HAU forum framing; exact target locator needed",AI132="Forum exchange; exact locator needed")),AND(G132&lt;&gt;"NO EVIDENCE",G132&lt;&gt;"NOT APPLICABLE",OR(AK132="",AL132="",AM132="",AN132="",AK132="SYSTEM INFERENCE",AK132="ABSTRACT ONLY",AK132="SECONDARY REPORT",AK132="UNVERIFIED",AM132="Exact locator needed",AM132="HAU forum framing; exact target locator needed",AM132="Forum exchange; exact locator needed"))),"EVIDENCE DEBT","READY")))</x:f>
        <x:v>N/A</x:v>
      </x:c>
      <x:c r="AT132" s="77" t="str">
        <x:v>Added in legal, privacy, due-process, and public-shaming expansion.</x:v>
      </x:c>
    </x:row>
    <x:row r="133" ht="50" customHeight="1">
      <x:c r="A133" s="85" t="n">
        <x:v>128</x:v>
      </x:c>
      <x:c r="B133" s="73" t="str">
        <x:v>Provisional</x:v>
      </x:c>
      <x:c r="C133" s="89" t="n">
        <x:v>3</x:v>
      </x:c>
      <x:c r="D133" s="82" t="str">
        <x:f>IF(C133="","",IFERROR(VLOOKUP(C133,'Database controls'!$A$5:$B$20,2,FALSE),"NEW / UNCATEGORIZED"))</x:f>
        <x:v>PIP-retaining public/private reconstruction and internal control</x:v>
      </x:c>
      <x:c r="E133" s="73" t="str">
        <x:v>PREMISES UNRESOLVED</x:v>
      </x:c>
      <x:c r="F133" s="73" t="str">
        <x:v>RETAINS WITH QUALIFICATION</x:v>
      </x:c>
      <x:c r="G133" s="73" t="str">
        <x:v>NO EVIDENCE</x:v>
      </x:c>
      <x:c r="H133" s="82" t="str">
        <x:f>IF(A133="","",IF(OR(F133="REJECTS",G133="REJECTS"),"OUTSIDE / EXCOMMUNICABLE",IF(AND(OR(F133="RETAINS",F133="RETAINS WITH QUALIFICATION"),OR(G133="RETAINS",G133="RETAINS WITH QUALIFICATION")),"INTERNAL GORGONWARS",IF(AND(F133="NOT APPLICABLE",G133="NOT APPLICABLE"),"NOT APPLICABLE","PREMISES UNRESOLVED"))))</x:f>
        <x:v>PREMISES UNRESOLVED</x:v>
      </x:c>
      <x:c r="I133" s="82" t="str">
        <x:f>IF(A133="","",IF(E133=H133,"OK",IF(AO133&lt;&gt;"","OVERRIDDEN","REVIEW")))</x:f>
        <x:v>OK</x:v>
      </x:c>
      <x:c r="J133" s="73" t="str">
        <x:v>Funa-law control defending expression against overbroad honor-based suppression</x:v>
      </x:c>
      <x:c r="K133" s="73" t="str">
        <x:v>Movement-adjacent</x:v>
      </x:c>
      <x:c r="L133" s="73" t="str">
        <x:v>Peer-reviewed journal article</x:v>
      </x:c>
      <x:c r="M133" s="73" t="str">
        <x:v>Peer-reviewed</x:v>
      </x:c>
      <x:c r="N133" s="89" t="n">
        <x:v>2021</x:v>
      </x:c>
      <x:c r="O133" s="73" t="str">
        <x:v>Pablo Contreras Vásquez and Domingo Lovera Parmo</x:v>
      </x:c>
      <x:c r="P133" s="73" t="str">
        <x:v>Redes sociales, funas, honor y libertad de expresión: análisis crítico de los estándares de la jurisprudencia de la Corte Suprema chilena</x:v>
      </x:c>
      <x:c r="Q133" s="73" t="str">
        <x:v>Derecho PUCP 87:345–371</x:v>
      </x:c>
      <x:c r="R133" s="73" t="str">
        <x:v>Spanish</x:v>
      </x:c>
      <x:c r="S133" s="73" t="str">
        <x:v>The law must protect people from doxing without using honor claims as an overbroad shortcut to suppress online accusations.</x:v>
      </x:c>
      <x:c r="T133" s="73" t="str">
        <x:v>Not #MeToo-specific and does not reject either foundational premise; retained to prevent false-positive use.</x:v>
      </x:c>
      <x:c r="U133" s="73" t="str">
        <x:v>Abstract only</x:v>
      </x:c>
      <x:c r="V133" s="73" t="str">
        <x:v>https://revistas.pucp.edu.pe/index.php/derechopucp/article/view/23674</x:v>
      </x:c>
      <x:c r="W133" s="73" t="str">
        <x:v>10.18800/derechopucp.202102.010</x:v>
      </x:c>
      <x:c r="X133" s="93" t="n">
        <x:v>46230</x:v>
      </x:c>
      <x:c r="Y133" s="93" t="n">
        <x:v>46230</x:v>
      </x:c>
      <x:c r="Z133" s="73" t="str">
        <x:v>Control row: premise evidence remains unresolved and points opposite the foundational-dissent search.</x:v>
      </x:c>
      <x:c r="AA133" s="73" t="str"/>
      <x:c r="AB133" s="73" t="n">
        <x:v>128</x:v>
      </x:c>
      <x:c r="AC133" s="73" t="str">
        <x:v>ADJACENT CONTEXT</x:v>
      </x:c>
      <x:c r="AD133" s="73" t="str">
        <x:v>MECHANISM / ADJACENT</x:v>
      </x:c>
      <x:c r="AE133" s="73" t="str">
        <x:v>ADJACENT</x:v>
      </x:c>
      <x:c r="AF133" s="73" t="str">
        <x:v>Balancing honor, doxing, and freedom of expression in Chilean funa cases</x:v>
      </x:c>
      <x:c r="AG133" s="73" t="str">
        <x:v>ABSTRACT ONLY</x:v>
      </x:c>
      <x:c r="AH133" s="73" t="str">
        <x:v>Paraphrase: Some courts give insufficient weight to freedom of expression when protecting honor and use an excessively legalistic standard.</x:v>
      </x:c>
      <x:c r="AI133" s="73" t="str">
        <x:v>Abstract</x:v>
      </x:c>
      <x:c r="AJ133" s="73" t="str">
        <x:v>https://revistas.pucp.edu.pe/index.php/derechopucp/article/view/23674</x:v>
      </x:c>
      <x:c r="AK133" s="73" t="str">
        <x:v>NO EVIDENCE</x:v>
      </x:c>
      <x:c r="AL133" s="73" t="str"/>
      <x:c r="AM133" s="73" t="str"/>
      <x:c r="AN133" s="73" t="str"/>
      <x:c r="AO133" s="73" t="str"/>
      <x:c r="AP133" s="73" t="str">
        <x:v>Legal/privacy expansion research pass</x:v>
      </x:c>
      <x:c r="AQ133" s="73" t="str">
        <x:v>GORGONWARS-PREMISE-1.0</x:v>
      </x:c>
      <x:c r="AR133" s="73" t="str"/>
      <x:c r="AS133" s="82" t="str">
        <x:f>IF(A133="","",IF(OR(E133="NOT APPLICABLE",E133="PREMISES UNRESOLVED"),"N/A",IF(OR(AND(F133&lt;&gt;"NO EVIDENCE",F133&lt;&gt;"NOT APPLICABLE",OR(AG133="",AH133="",AI133="",AJ133="",AG133="SYSTEM INFERENCE",AG133="ABSTRACT ONLY",AG133="SECONDARY REPORT",AG133="UNVERIFIED",AI133="Exact locator needed",AI133="HAU forum framing; exact target locator needed",AI133="Forum exchange; exact locator needed")),AND(G133&lt;&gt;"NO EVIDENCE",G133&lt;&gt;"NOT APPLICABLE",OR(AK133="",AL133="",AM133="",AN133="",AK133="SYSTEM INFERENCE",AK133="ABSTRACT ONLY",AK133="SECONDARY REPORT",AK133="UNVERIFIED",AM133="Exact locator needed",AM133="HAU forum framing; exact target locator needed",AM133="Forum exchange; exact locator needed"))),"EVIDENCE DEBT","READY")))</x:f>
        <x:v>N/A</x:v>
      </x:c>
      <x:c r="AT133" s="74" t="str">
        <x:v>Added in legal, privacy, due-process, and public-shaming expansion.</x:v>
      </x:c>
    </x:row>
    <x:row r="134" ht="50" customHeight="1">
      <x:c r="A134" s="86" t="n">
        <x:v>129</x:v>
      </x:c>
      <x:c r="B134" s="76" t="str">
        <x:v>Needs full text</x:v>
      </x:c>
      <x:c r="C134" s="90" t="n">
        <x:v>5</x:v>
      </x:c>
      <x:c r="D134" s="82" t="str">
        <x:f>IF(C134="","",IFERROR(VLOOKUP(C134,'Database controls'!$A$5:$B$20,2,FALSE),"NEW / UNCATEGORIZED"))</x:f>
        <x:v>Desire, agency, and sexual ambiguity</x:v>
      </x:c>
      <x:c r="E134" s="76" t="str">
        <x:v>OUTSIDE / EXCOMMUNICABLE</x:v>
      </x:c>
      <x:c r="F134" s="76" t="str">
        <x:v>REJECTS</x:v>
      </x:c>
      <x:c r="G134" s="76" t="str">
        <x:v>REJECTS</x:v>
      </x:c>
      <x:c r="H134" s="82" t="str">
        <x:f>IF(A134="","",IF(OR(F134="REJECTS",G134="REJECTS"),"OUTSIDE / EXCOMMUNICABLE",IF(AND(OR(F134="RETAINS",F134="RETAINS WITH QUALIFICATION"),OR(G134="RETAINS",G134="RETAINS WITH QUALIFICATION")),"INTERNAL GORGONWARS",IF(AND(F134="NOT APPLICABLE",G134="NOT APPLICABLE"),"NOT APPLICABLE","PREMISES UNRESOLVED"))))</x:f>
        <x:v>OUTSIDE / EXCOMMUNICABLE</x:v>
      </x:c>
      <x:c r="I134" s="82" t="str">
        <x:f>IF(A134="","",IF(E134=H134,"OK",IF(AO134&lt;&gt;"","OVERRIDDEN","REVIEW")))</x:f>
        <x:v>OK</x:v>
      </x:c>
      <x:c r="J134" s="76" t="str">
        <x:v>Direct critique of #MeToo's identity-victim and puritanical cultural frame</x:v>
      </x:c>
      <x:c r="K134" s="76" t="str">
        <x:v>Direct #MeToo critique</x:v>
      </x:c>
      <x:c r="L134" s="76" t="str">
        <x:v>Peer-reviewed journal article</x:v>
      </x:c>
      <x:c r="M134" s="76" t="str">
        <x:v>Peer-reviewed</x:v>
      </x:c>
      <x:c r="N134" s="90" t="n">
        <x:v>2025</x:v>
      </x:c>
      <x:c r="O134" s="76" t="str">
        <x:v>Sandro Volpe</x:v>
      </x:c>
      <x:c r="P134" s="76" t="str">
        <x:v>Con le migliori intenzioni. Il nuovo puritanesimo al cinema</x:v>
      </x:c>
      <x:c r="Q134" s="76" t="str">
        <x:v>Comparatismi 10:588–603</x:v>
      </x:c>
      <x:c r="R134" s="76" t="str">
        <x:v>Italian</x:v>
      </x:c>
      <x:c r="S134" s="76" t="str">
        <x:v>A movement that began by protecting victims becomes dangerous when identity and victimhood authorize a puritanical cultural regime that polarizes public life and chills erotic and artistic freedom.</x:v>
      </x:c>
      <x:c r="T134" s="76" t="str">
        <x:v>Comparative film and cultural analysis of three French-linked works, not population evidence; premise classification currently depends on the publisher abstract and requires full-text confirmation.</x:v>
      </x:c>
      <x:c r="U134" s="76" t="str">
        <x:v>Abstract only</x:v>
      </x:c>
      <x:c r="V134" s="76" t="str">
        <x:v>https://www.ledijournals.com/ojs/index.php/comparatismi/article/view/3134</x:v>
      </x:c>
      <x:c r="W134" s="76" t="str">
        <x:v>10.14672/20253134</x:v>
      </x:c>
      <x:c r="X134" s="94" t="n">
        <x:v>46230</x:v>
      </x:c>
      <x:c r="Y134" s="94" t="n">
        <x:v>46230</x:v>
      </x:c>
      <x:c r="Z134" s="76" t="str">
        <x:v>DOI verified from the publisher record.</x:v>
      </x:c>
      <x:c r="AA134" s="76" t="str"/>
      <x:c r="AB134" s="76" t="n">
        <x:v>129</x:v>
      </x:c>
      <x:c r="AC134" s="76" t="str">
        <x:v>DIRECT OUTSIDE CRITIQUE</x:v>
      </x:c>
      <x:c r="AD134" s="76" t="str">
        <x:v>EXPLICIT CRITIQUE</x:v>
      </x:c>
      <x:c r="AE134" s="76" t="str">
        <x:v>YES</x:v>
      </x:c>
      <x:c r="AF134" s="76" t="str">
        <x:v>Identity paradigm, victim ideology, puritanism, and the public moralization of sexuality and art</x:v>
      </x:c>
      <x:c r="AG134" s="76" t="str">
        <x:v>ABSTRACT ONLY</x:v>
      </x:c>
      <x:c r="AH134" s="76" t="str">
        <x:v>The publisher abstract presents #MeToo and #BalanceTonPorc as cases in which a puritanical ideology radicalizes cultural politics and risks a new totalitarianism.</x:v>
      </x:c>
      <x:c r="AI134" s="76" t="str">
        <x:v>Publisher abstract; article pp. 588–603</x:v>
      </x:c>
      <x:c r="AJ134" s="76" t="str">
        <x:v>https://www.ledijournals.com/ojs/index.php/comparatismi/article/view/3134</x:v>
      </x:c>
      <x:c r="AK134" s="76" t="str">
        <x:v>ABSTRACT ONLY</x:v>
      </x:c>
      <x:c r="AL134" s="76" t="str">
        <x:v>The publisher abstract expressly identifies the identity paradigm and victim ideology as constitutive problems in the movement's cultural operation.</x:v>
      </x:c>
      <x:c r="AM134" s="76" t="str">
        <x:v>Publisher abstract; article pp. 588–603</x:v>
      </x:c>
      <x:c r="AN134" s="76" t="str">
        <x:v>https://www.ledijournals.com/ojs/index.php/comparatismi/article/view/3134</x:v>
      </x:c>
      <x:c r="AO134" s="76" t="str"/>
      <x:c r="AP134" s="76" t="str">
        <x:v>Multilingual expansion research</x:v>
      </x:c>
      <x:c r="AQ134" s="76" t="str">
        <x:v>GORGONWARS-PREMISE-1.0</x:v>
      </x:c>
      <x:c r="AR134" s="76" t="str"/>
      <x:c r="AS134" s="82" t="str">
        <x:f>IF(A134="","",IF(OR(E134="NOT APPLICABLE",E134="PREMISES UNRESOLVED"),"N/A",IF(OR(AND(F134&lt;&gt;"NO EVIDENCE",F134&lt;&gt;"NOT APPLICABLE",OR(AG134="",AH134="",AI134="",AJ134="",AG134="SYSTEM INFERENCE",AG134="ABSTRACT ONLY",AG134="SECONDARY REPORT",AG134="UNVERIFIED",AI134="Exact locator needed",AI134="HAU forum framing; exact target locator needed",AI134="Forum exchange; exact locator needed")),AND(G134&lt;&gt;"NO EVIDENCE",G134&lt;&gt;"NOT APPLICABLE",OR(AK134="",AL134="",AM134="",AN134="",AK134="SYSTEM INFERENCE",AK134="ABSTRACT ONLY",AK134="SECONDARY REPORT",AK134="UNVERIFIED",AM134="Exact locator needed",AM134="HAU forum framing; exact target locator needed",AM134="Forum exchange; exact locator needed"))),"EVIDENCE DEBT","READY")))</x:f>
        <x:v>EVIDENCE DEBT</x:v>
      </x:c>
      <x:c r="AT134" s="77" t="str">
        <x:v>Added in multilingual sexual-freedom expansion.</x:v>
      </x:c>
    </x:row>
    <x:row r="135" ht="50" customHeight="1">
      <x:c r="A135" s="85" t="n">
        <x:v>130</x:v>
      </x:c>
      <x:c r="B135" s="73" t="str">
        <x:v>Active</x:v>
      </x:c>
      <x:c r="C135" s="89" t="n">
        <x:v>2</x:v>
      </x:c>
      <x:c r="D135" s="82" t="str">
        <x:f>IF(C135="","",IFERROR(VLOOKUP(C135,'Database controls'!$A$5:$B$20,2,FALSE),"NEW / UNCATEGORIZED"))</x:f>
        <x:v>Foundational public/private-boundary dissent</x:v>
      </x:c>
      <x:c r="E135" s="73" t="str">
        <x:v>OUTSIDE / EXCOMMUNICABLE</x:v>
      </x:c>
      <x:c r="F135" s="73" t="str">
        <x:v>REJECTS</x:v>
      </x:c>
      <x:c r="G135" s="73" t="str">
        <x:v>REJECTS</x:v>
      </x:c>
      <x:c r="H135" s="82" t="str">
        <x:f>IF(A135="","",IF(OR(F135="REJECTS",G135="REJECTS"),"OUTSIDE / EXCOMMUNICABLE",IF(AND(OR(F135="RETAINS",F135="RETAINS WITH QUALIFICATION"),OR(G135="RETAINS",G135="RETAINS WITH QUALIFICATION")),"INTERNAL GORGONWARS",IF(AND(F135="NOT APPLICABLE",G135="NOT APPLICABLE"),"NOT APPLICABLE","PREMISES UNRESOLVED"))))</x:f>
        <x:v>OUTSIDE / EXCOMMUNICABLE</x:v>
      </x:c>
      <x:c r="I135" s="82" t="str">
        <x:f>IF(A135="","",IF(E135=H135,"OK",IF(AO135&lt;&gt;"","OVERRIDDEN","REVIEW")))</x:f>
        <x:v>OK</x:v>
      </x:c>
      <x:c r="J135" s="73" t="str">
        <x:v>Direct anthropological critique of hashtag adjudication, sexual puritanism, and categorical predator-victim framing</x:v>
      </x:c>
      <x:c r="K135" s="73" t="str">
        <x:v>Direct #MeToo critique</x:v>
      </x:c>
      <x:c r="L135" s="73" t="str">
        <x:v>Academic forum / editorial</x:v>
      </x:c>
      <x:c r="M135" s="73" t="str">
        <x:v>Academic forum / editorial</x:v>
      </x:c>
      <x:c r="N135" s="89" t="n">
        <x:v>2018</x:v>
      </x:c>
      <x:c r="O135" s="73" t="str">
        <x:v>Emmanuel Désveaux</x:v>
      </x:c>
      <x:c r="P135" s="73" t="str">
        <x:v>L'affaire Weinstein : prédation masculine ou tectonique des plaques</x:v>
      </x:c>
      <x:c r="Q135" s="73" t="str">
        <x:v>Anthropologie et Sociétés 42(2–3):347–359</x:v>
      </x:c>
      <x:c r="R135" s="73" t="str">
        <x:v>French</x:v>
      </x:c>
      <x:c r="S135" s="73" t="str">
        <x:v>#MeToo mistakes a difficult transition toward sex equality for a universal male-predator story, erasing ambiguity, women's agency, and the social history of erotic-professional entanglement while reviving puritanism.</x:v>
      </x:c>
      <x:c r="T135" s="73" t="str">
        <x:v>A theoretical anthropology conference article rather than an empirical test; several broad historical claims require independent corroboration.</x:v>
      </x:c>
      <x:c r="U135" s="73" t="str">
        <x:v>Full text verified</x:v>
      </x:c>
      <x:c r="V135" s="73" t="str">
        <x:v>https://www.erudit.org/fr/revues/as/2018-v42-n2-3-as04040/1052650ar/</x:v>
      </x:c>
      <x:c r="W135" s="73" t="str">
        <x:v>10.7202/1052650ar</x:v>
      </x:c>
      <x:c r="X135" s="93" t="n">
        <x:v>46230</x:v>
      </x:c>
      <x:c r="Y135" s="93" t="n">
        <x:v>46230</x:v>
      </x:c>
      <x:c r="Z135" s="73" t="str">
        <x:v>The journal labels the contribution as a conference text.</x:v>
      </x:c>
      <x:c r="AA135" s="73" t="str">
        <x:v>Related revised version: source 131</x:v>
      </x:c>
      <x:c r="AB135" s="73" t="n">
        <x:v>130</x:v>
      </x:c>
      <x:c r="AC135" s="73" t="str">
        <x:v>DIRECT OUTSIDE CRITIQUE</x:v>
      </x:c>
      <x:c r="AD135" s="73" t="str">
        <x:v>EXPLICIT CRITIQUE</x:v>
      </x:c>
      <x:c r="AE135" s="73" t="str">
        <x:v>YES</x:v>
      </x:c>
      <x:c r="AF135" s="73" t="str">
        <x:v>Anonymous hashtag denunciation, public sexual adjudication, puritanism, and the male-predator/female-victim binary</x:v>
      </x:c>
      <x:c r="AG135" s="73" t="str">
        <x:v>DIRECT EXPLICIT</x:v>
      </x:c>
      <x:c r="AH135" s="73" t="str">
        <x:v>Désveaux attacks anonymous hashtag reporting, public sexual adjudication, and the suppression of rational dispute, later naming the result a female-centered puritanism.</x:v>
      </x:c>
      <x:c r="AI135" s="73" t="str">
        <x:v>pp. 347–350 and 354–358</x:v>
      </x:c>
      <x:c r="AJ135" s="73" t="str">
        <x:v>https://www.erudit.org/fr/revues/as/2018-v42-n2-3-as04040/1052650ar/</x:v>
      </x:c>
      <x:c r="AK135" s="73" t="str">
        <x:v>DIRECT EXPLICIT</x:v>
      </x:c>
      <x:c r="AL135" s="73" t="str">
        <x:v>He rejects the categorical male-predator/female-victim script and restores female desire, mutual interest, and sexual grey zones to the analysis.</x:v>
      </x:c>
      <x:c r="AM135" s="73" t="str">
        <x:v>pp. 354–358</x:v>
      </x:c>
      <x:c r="AN135" s="73" t="str">
        <x:v>https://www.erudit.org/fr/revues/as/2018-v42-n2-3-as04040/1052650ar/</x:v>
      </x:c>
      <x:c r="AO135" s="73" t="str"/>
      <x:c r="AP135" s="73" t="str">
        <x:v>Multilingual expansion research</x:v>
      </x:c>
      <x:c r="AQ135" s="73" t="str">
        <x:v>GORGONWARS-PREMISE-1.0</x:v>
      </x:c>
      <x:c r="AR135" s="73" t="str"/>
      <x:c r="AS135" s="82" t="str">
        <x:f>IF(A135="","",IF(OR(E135="NOT APPLICABLE",E135="PREMISES UNRESOLVED"),"N/A",IF(OR(AND(F135&lt;&gt;"NO EVIDENCE",F135&lt;&gt;"NOT APPLICABLE",OR(AG135="",AH135="",AI135="",AJ135="",AG135="SYSTEM INFERENCE",AG135="ABSTRACT ONLY",AG135="SECONDARY REPORT",AG135="UNVERIFIED",AI135="Exact locator needed",AI135="HAU forum framing; exact target locator needed",AI135="Forum exchange; exact locator needed")),AND(G135&lt;&gt;"NO EVIDENCE",G135&lt;&gt;"NOT APPLICABLE",OR(AK135="",AL135="",AM135="",AN135="",AK135="SYSTEM INFERENCE",AK135="ABSTRACT ONLY",AK135="SECONDARY REPORT",AK135="UNVERIFIED",AM135="Exact locator needed",AM135="HAU forum framing; exact target locator needed",AM135="Forum exchange; exact locator needed"))),"EVIDENCE DEBT","READY")))</x:f>
        <x:v>READY</x:v>
      </x:c>
      <x:c r="AT135" s="74" t="str">
        <x:v>Added in multilingual sexual-freedom expansion.</x:v>
      </x:c>
    </x:row>
    <x:row r="136" ht="50" customHeight="1">
      <x:c r="A136" s="86" t="n">
        <x:v>131</x:v>
      </x:c>
      <x:c r="B136" s="76" t="str">
        <x:v>Active</x:v>
      </x:c>
      <x:c r="C136" s="90" t="n">
        <x:v>2</x:v>
      </x:c>
      <x:c r="D136" s="82" t="str">
        <x:f>IF(C136="","",IFERROR(VLOOKUP(C136,'Database controls'!$A$5:$B$20,2,FALSE),"NEW / UNCATEGORIZED"))</x:f>
        <x:v>Foundational public/private-boundary dissent</x:v>
      </x:c>
      <x:c r="E136" s="76" t="str">
        <x:v>OUTSIDE / EXCOMMUNICABLE</x:v>
      </x:c>
      <x:c r="F136" s="76" t="str">
        <x:v>REJECTS</x:v>
      </x:c>
      <x:c r="G136" s="76" t="str">
        <x:v>REJECTS</x:v>
      </x:c>
      <x:c r="H136" s="82" t="str">
        <x:f>IF(A136="","",IF(OR(F136="REJECTS",G136="REJECTS"),"OUTSIDE / EXCOMMUNICABLE",IF(AND(OR(F136="RETAINS",F136="RETAINS WITH QUALIFICATION"),OR(G136="RETAINS",G136="RETAINS WITH QUALIFICATION")),"INTERNAL GORGONWARS",IF(AND(F136="NOT APPLICABLE",G136="NOT APPLICABLE"),"NOT APPLICABLE","PREMISES UNRESOLVED"))))</x:f>
        <x:v>OUTSIDE / EXCOMMUNICABLE</x:v>
      </x:c>
      <x:c r="I136" s="82" t="str">
        <x:f>IF(A136="","",IF(E136=H136,"OK",IF(AO136&lt;&gt;"","OVERRIDDEN","REVIEW")))</x:f>
        <x:v>OK</x:v>
      </x:c>
      <x:c r="J136" s="76" t="str">
        <x:v>Revised direct critique of #MeToo's totalizing account of sex inequality and moralization of ambiguity</x:v>
      </x:c>
      <x:c r="K136" s="76" t="str">
        <x:v>Direct #MeToo critique</x:v>
      </x:c>
      <x:c r="L136" s="76" t="str">
        <x:v>Other</x:v>
      </x:c>
      <x:c r="M136" s="76" t="str">
        <x:v>Unresolved</x:v>
      </x:c>
      <x:c r="N136" s="90" t="n">
        <x:v>2019</x:v>
      </x:c>
      <x:c r="O136" s="76" t="str">
        <x:v>Emmanuel Désveaux</x:v>
      </x:c>
      <x:c r="P136" s="76" t="str">
        <x:v>À propos de l'affaire Weinstein : de la subordination dynamique à l'égalité statutaire</x:v>
      </x:c>
      <x:c r="Q136" s="76" t="str">
        <x:v>Grief 6/1(1):35–47</x:v>
      </x:c>
      <x:c r="R136" s="76" t="str">
        <x:v>French</x:v>
      </x:c>
      <x:c r="S136" s="76" t="str">
        <x:v>A real abuse scandal became a total account of sex inequality that moralizes all ambiguity instead of analyzing the transition from hierarchical dependence to equal status.</x:v>
      </x:c>
      <x:c r="T136" s="76" t="str">
        <x:v>A substantially reworked version of Désveaux's 2018 article; retain it as a separate publication but do not count it as independent corroboration.</x:v>
      </x:c>
      <x:c r="U136" s="76" t="str">
        <x:v>Full text verified</x:v>
      </x:c>
      <x:c r="V136" s="76" t="str">
        <x:v>https://droit.cairn.info/revue-grief-2019-1-page-35?lang=fr</x:v>
      </x:c>
      <x:c r="W136" s="76" t="str">
        <x:v>10.3917/grief.191.0035</x:v>
      </x:c>
      <x:c r="X136" s="94" t="n">
        <x:v>46230</x:v>
      </x:c>
      <x:c r="Y136" s="94" t="n">
        <x:v>46230</x:v>
      </x:c>
      <x:c r="Z136" s="76" t="str">
        <x:v>The author expressly describes this as a substantially different version of the 2018 argument.</x:v>
      </x:c>
      <x:c r="AA136" s="76" t="str">
        <x:v>Substantially revised version of source 130; not independent corroboration</x:v>
      </x:c>
      <x:c r="AB136" s="76" t="n">
        <x:v>131</x:v>
      </x:c>
      <x:c r="AC136" s="76" t="str">
        <x:v>DIRECT OUTSIDE CRITIQUE</x:v>
      </x:c>
      <x:c r="AD136" s="76" t="str">
        <x:v>EXPLICIT CRITIQUE</x:v>
      </x:c>
      <x:c r="AE136" s="76" t="str">
        <x:v>YES</x:v>
      </x:c>
      <x:c r="AF136" s="76" t="str">
        <x:v>Public denunciation, consent moralization, categorical predator-victim framing, and sexual puritanism</x:v>
      </x:c>
      <x:c r="AG136" s="76" t="str">
        <x:v>DIRECT EXPLICIT</x:v>
      </x:c>
      <x:c r="AH136" s="76" t="str">
        <x:v>The revised argument again rejects public denunciation and the conversion of sexual ambiguity into a generalized moral-political tribunal.</x:v>
      </x:c>
      <x:c r="AI136" s="76" t="str">
        <x:v>pp. 35–47, especially the public-denunciation and consent discussion</x:v>
      </x:c>
      <x:c r="AJ136" s="76" t="str">
        <x:v>https://droit.cairn.info/revue-grief-2019-1-page-35?lang=fr</x:v>
      </x:c>
      <x:c r="AK136" s="76" t="str">
        <x:v>DIRECT EXPLICIT</x:v>
      </x:c>
      <x:c r="AL136" s="76" t="str">
        <x:v>The article rejects the total male-predator/female-victim account and again describes the result as a female-centered puritanism.</x:v>
      </x:c>
      <x:c r="AM136" s="76" t="str">
        <x:v>pp. 35–47; repeated puritanism formulation</x:v>
      </x:c>
      <x:c r="AN136" s="76" t="str">
        <x:v>https://droit.cairn.info/revue-grief-2019-1-page-35?lang=fr</x:v>
      </x:c>
      <x:c r="AO136" s="76" t="str"/>
      <x:c r="AP136" s="76" t="str">
        <x:v>Multilingual expansion research</x:v>
      </x:c>
      <x:c r="AQ136" s="76" t="str">
        <x:v>GORGONWARS-PREMISE-1.0</x:v>
      </x:c>
      <x:c r="AR136" s="76" t="str"/>
      <x:c r="AS136" s="82" t="str">
        <x:f>IF(A136="","",IF(OR(E136="NOT APPLICABLE",E136="PREMISES UNRESOLVED"),"N/A",IF(OR(AND(F136&lt;&gt;"NO EVIDENCE",F136&lt;&gt;"NOT APPLICABLE",OR(AG136="",AH136="",AI136="",AJ136="",AG136="SYSTEM INFERENCE",AG136="ABSTRACT ONLY",AG136="SECONDARY REPORT",AG136="UNVERIFIED",AI136="Exact locator needed",AI136="HAU forum framing; exact target locator needed",AI136="Forum exchange; exact locator needed")),AND(G136&lt;&gt;"NO EVIDENCE",G136&lt;&gt;"NOT APPLICABLE",OR(AK136="",AL136="",AM136="",AN136="",AK136="SYSTEM INFERENCE",AK136="ABSTRACT ONLY",AK136="SECONDARY REPORT",AK136="UNVERIFIED",AM136="Exact locator needed",AM136="HAU forum framing; exact target locator needed",AM136="Forum exchange; exact locator needed"))),"EVIDENCE DEBT","READY")))</x:f>
        <x:v>READY</x:v>
      </x:c>
      <x:c r="AT136" s="77" t="str">
        <x:v>Added in multilingual sexual-freedom expansion.</x:v>
      </x:c>
    </x:row>
    <x:row r="137" ht="50" customHeight="1">
      <x:c r="A137" s="85" t="n">
        <x:v>132</x:v>
      </x:c>
      <x:c r="B137" s="73" t="str">
        <x:v>Active</x:v>
      </x:c>
      <x:c r="C137" s="89" t="n">
        <x:v>4</x:v>
      </x:c>
      <x:c r="D137" s="82" t="str">
        <x:f>IF(C137="","",IFERROR(VLOOKUP(C137,'Database controls'!$A$5:$B$20,2,FALSE),"NEW / UNCATEGORIZED"))</x:f>
        <x:v>Testimony, belief, and epistemic authority</x:v>
      </x:c>
      <x:c r="E137" s="73" t="str">
        <x:v>OUTSIDE / EXCOMMUNICABLE</x:v>
      </x:c>
      <x:c r="F137" s="73" t="str">
        <x:v>REJECTS</x:v>
      </x:c>
      <x:c r="G137" s="73" t="str">
        <x:v>REJECTS</x:v>
      </x:c>
      <x:c r="H137" s="82" t="str">
        <x:f>IF(A137="","",IF(OR(F137="REJECTS",G137="REJECTS"),"OUTSIDE / EXCOMMUNICABLE",IF(AND(OR(F137="RETAINS",F137="RETAINS WITH QUALIFICATION"),OR(G137="RETAINS",G137="RETAINS WITH QUALIFICATION")),"INTERNAL GORGONWARS",IF(AND(F137="NOT APPLICABLE",G137="NOT APPLICABLE"),"NOT APPLICABLE","PREMISES UNRESOLVED"))))</x:f>
        <x:v>OUTSIDE / EXCOMMUNICABLE</x:v>
      </x:c>
      <x:c r="I137" s="82" t="str">
        <x:f>IF(A137="","",IF(E137=H137,"OK",IF(AO137&lt;&gt;"","OVERRIDDEN","REVIEW")))</x:f>
        <x:v>OK</x:v>
      </x:c>
      <x:c r="J137" s="73" t="str">
        <x:v>Direct review-essay critique of hashtag victimology, accuser susceptibility, social lynching, and evidentiary shortcuts</x:v>
      </x:c>
      <x:c r="K137" s="73" t="str">
        <x:v>Direct #MeToo critique</x:v>
      </x:c>
      <x:c r="L137" s="73" t="str">
        <x:v>Peer-reviewed journal article</x:v>
      </x:c>
      <x:c r="M137" s="73" t="str">
        <x:v>Peer-reviewed</x:v>
      </x:c>
      <x:c r="N137" s="89" t="n">
        <x:v>2020</x:v>
      </x:c>
      <x:c r="O137" s="73" t="str">
        <x:v>Alejandro Nava Tovar</x:v>
      </x:c>
      <x:c r="P137" s="73" t="str">
        <x:v>La cautela criminal en la era del acoso. Una lectura de Acoso de Marta Lamas</x:v>
      </x:c>
      <x:c r="Q137" s="73" t="str">
        <x:v>Revista Mexicana de Ciencias Penales 3(11):185–196</x:v>
      </x:c>
      <x:c r="R137" s="73" t="str">
        <x:v>Spanish</x:v>
      </x:c>
      <x:c r="S137" s="73" t="str">
        <x:v>#MeToo turns a legitimate anti-harassment cause into an unfalsifiable victim-perpetrator story that erases consent and complexity; fair hearing, shared harm, and nonpunitive caution protect women without social lynching.</x:v>
      </x:c>
      <x:c r="T137" s="73" t="str">
        <x:v>A favorable critical review of Marta Lamas plus Nava's own normative extension, not an empirical study of the movement.</x:v>
      </x:c>
      <x:c r="U137" s="73" t="str">
        <x:v>Full text verified</x:v>
      </x:c>
      <x:c r="V137" s="73" t="str">
        <x:v>https://revistacienciasinacipe.fgr.org.mx/index.php/02/article/view/325</x:v>
      </x:c>
      <x:c r="W137" s="73" t="str">
        <x:v>10.57042/rmcp.v3i11.325</x:v>
      </x:c>
      <x:c r="X137" s="93" t="n">
        <x:v>46230</x:v>
      </x:c>
      <x:c r="Y137" s="93" t="n">
        <x:v>46230</x:v>
      </x:c>
      <x:c r="Z137" s="73" t="str">
        <x:v>The journal record reports received and accepted dates; DOI verified.</x:v>
      </x:c>
      <x:c r="AA137" s="73" t="str"/>
      <x:c r="AB137" s="73" t="n">
        <x:v>132</x:v>
      </x:c>
      <x:c r="AC137" s="73" t="str">
        <x:v>DIRECT OUTSIDE CRITIQUE</x:v>
      </x:c>
      <x:c r="AD137" s="73" t="str">
        <x:v>EXPLICIT CRITIQUE</x:v>
      </x:c>
      <x:c r="AE137" s="73" t="str">
        <x:v>YES</x:v>
      </x:c>
      <x:c r="AF137" s="73" t="str">
        <x:v>Hashtag victimology, essentialist sex categories, accuser susceptibility, due process, and sex panic</x:v>
      </x:c>
      <x:c r="AG137" s="73" t="str">
        <x:v>DIRECT EXPLICIT</x:v>
      </x:c>
      <x:c r="AH137" s="73" t="str">
        <x:v>Nava describes social lynching without evidence and argues that hashtag feminism's punitive public process displaces fair adjudication.</x:v>
      </x:c>
      <x:c r="AI137" s="73" t="str">
        <x:v>pp. 188–191</x:v>
      </x:c>
      <x:c r="AJ137" s="73" t="str">
        <x:v>https://revistacienciasinacipe.fgr.org.mx/index.php/02/article/download/325/172/769</x:v>
      </x:c>
      <x:c r="AK137" s="73" t="str">
        <x:v>DIRECT EXPLICIT</x:v>
      </x:c>
      <x:c r="AL137" s="73" t="str">
        <x:v>He rejects accuser susceptibility and the essentialist woman-victim/man-perpetrator binary as arbitrary, class- and race-biased, and resistant to counterargument.</x:v>
      </x:c>
      <x:c r="AM137" s="73" t="str">
        <x:v>pp. 188–193</x:v>
      </x:c>
      <x:c r="AN137" s="73" t="str">
        <x:v>https://revistacienciasinacipe.fgr.org.mx/index.php/02/article/download/325/172/769</x:v>
      </x:c>
      <x:c r="AO137" s="73" t="str"/>
      <x:c r="AP137" s="73" t="str">
        <x:v>Multilingual expansion research</x:v>
      </x:c>
      <x:c r="AQ137" s="73" t="str">
        <x:v>GORGONWARS-PREMISE-1.0</x:v>
      </x:c>
      <x:c r="AR137" s="73" t="str">
        <x:v>https://revistacienciasinacipe.fgr.org.mx/index.php/02/article/download/325/172/769</x:v>
      </x:c>
      <x:c r="AS137" s="82" t="str">
        <x:f>IF(A137="","",IF(OR(E137="NOT APPLICABLE",E137="PREMISES UNRESOLVED"),"N/A",IF(OR(AND(F137&lt;&gt;"NO EVIDENCE",F137&lt;&gt;"NOT APPLICABLE",OR(AG137="",AH137="",AI137="",AJ137="",AG137="SYSTEM INFERENCE",AG137="ABSTRACT ONLY",AG137="SECONDARY REPORT",AG137="UNVERIFIED",AI137="Exact locator needed",AI137="HAU forum framing; exact target locator needed",AI137="Forum exchange; exact locator needed")),AND(G137&lt;&gt;"NO EVIDENCE",G137&lt;&gt;"NOT APPLICABLE",OR(AK137="",AL137="",AM137="",AN137="",AK137="SYSTEM INFERENCE",AK137="ABSTRACT ONLY",AK137="SECONDARY REPORT",AK137="UNVERIFIED",AM137="Exact locator needed",AM137="HAU forum framing; exact target locator needed",AM137="Forum exchange; exact locator needed"))),"EVIDENCE DEBT","READY")))</x:f>
        <x:v>READY</x:v>
      </x:c>
      <x:c r="AT137" s="74" t="str">
        <x:v>Added in multilingual sexual-freedom expansion.</x:v>
      </x:c>
    </x:row>
    <x:row r="138" ht="50" customHeight="1">
      <x:c r="A138" s="86" t="n">
        <x:v>133</x:v>
      </x:c>
      <x:c r="B138" s="76" t="str">
        <x:v>Provisional</x:v>
      </x:c>
      <x:c r="C138" s="90" t="n">
        <x:v>4</x:v>
      </x:c>
      <x:c r="D138" s="82" t="str">
        <x:f>IF(C138="","",IFERROR(VLOOKUP(C138,'Database controls'!$A$5:$B$20,2,FALSE),"NEW / UNCATEGORIZED"))</x:f>
        <x:v>Testimony, belief, and epistemic authority</x:v>
      </x:c>
      <x:c r="E138" s="76" t="str">
        <x:v>OUTSIDE / EXCOMMUNICABLE</x:v>
      </x:c>
      <x:c r="F138" s="76" t="str">
        <x:v>REJECTS</x:v>
      </x:c>
      <x:c r="G138" s="76" t="str">
        <x:v>REJECTS</x:v>
      </x:c>
      <x:c r="H138" s="82" t="str">
        <x:f>IF(A138="","",IF(OR(F138="REJECTS",G138="REJECTS"),"OUTSIDE / EXCOMMUNICABLE",IF(AND(OR(F138="RETAINS",F138="RETAINS WITH QUALIFICATION"),OR(G138="RETAINS",G138="RETAINS WITH QUALIFICATION")),"INTERNAL GORGONWARS",IF(AND(F138="NOT APPLICABLE",G138="NOT APPLICABLE"),"NOT APPLICABLE","PREMISES UNRESOLVED"))))</x:f>
        <x:v>OUTSIDE / EXCOMMUNICABLE</x:v>
      </x:c>
      <x:c r="I138" s="82" t="str">
        <x:f>IF(A138="","",IF(E138=H138,"OK",IF(AO138&lt;&gt;"","OVERRIDDEN","REVIEW")))</x:f>
        <x:v>OK</x:v>
      </x:c>
      <x:c r="J138" s="76" t="str">
        <x:v>Scholarly review endorsing a critique of performative accusation, offended identity, and substitute reality</x:v>
      </x:c>
      <x:c r="K138" s="76" t="str">
        <x:v>Direct #MeToo critique</x:v>
      </x:c>
      <x:c r="L138" s="76" t="str">
        <x:v>Other</x:v>
      </x:c>
      <x:c r="M138" s="76" t="str">
        <x:v>Unresolved</x:v>
      </x:c>
      <x:c r="N138" s="90" t="n">
        <x:v>2022</x:v>
      </x:c>
      <x:c r="O138" s="76" t="str">
        <x:v>Catherine Kintzler</x:v>
      </x:c>
      <x:c r="P138" s="76" t="str">
        <x:v>Sabine Prokhoris, Le Mirage #MeToo. Réflexions à partir du cas français</x:v>
      </x:c>
      <x:c r="Q138" s="76" t="str">
        <x:v>Humanisme 2022/1 no. 334:118–120</x:v>
      </x:c>
      <x:c r="R138" s="76" t="str">
        <x:v>French</x:v>
      </x:c>
      <x:c r="S138" s="76" t="str">
        <x:v>When accusation makes itself true and every degree of conduct is folded into one offended continuum, emancipation gives way to identity separation and a self-validating tribunal.</x:v>
      </x:c>
      <x:c r="T138" s="76" t="str">
        <x:v>A favorable scholarly book review and endorsement, not independent empirical evidence; the Cairn DOI and exact end page require final metadata verification.</x:v>
      </x:c>
      <x:c r="U138" s="76" t="str">
        <x:v>Full text verified</x:v>
      </x:c>
      <x:c r="V138" s="76" t="str">
        <x:v>https://www.mezetulle.fr/le-mirage-metoo-de-sabine-prokhoris-lu-par-c-kintzler/</x:v>
      </x:c>
      <x:c r="W138" s="76" t="str"/>
      <x:c r="X138" s="94" t="n">
        <x:v>46230</x:v>
      </x:c>
      <x:c r="Y138" s="94" t="n">
        <x:v>46230</x:v>
      </x:c>
      <x:c r="Z138" s="76" t="str">
        <x:v>Do not promote the probable pattern-derived DOI 10.3917/huma.334.0118 until it resolves in an authoritative record.</x:v>
      </x:c>
      <x:c r="AA138" s="76" t="str"/>
      <x:c r="AB138" s="76" t="n">
        <x:v>133</x:v>
      </x:c>
      <x:c r="AC138" s="76" t="str">
        <x:v>DIRECT OUTSIDE CRITIQUE</x:v>
      </x:c>
      <x:c r="AD138" s="76" t="str">
        <x:v>EXPLICIT CRITIQUE</x:v>
      </x:c>
      <x:c r="AE138" s="76" t="str">
        <x:v>YES</x:v>
      </x:c>
      <x:c r="AF138" s="76" t="str">
        <x:v>Performative accusation, offended identity, substitute reality, essentialism, and sex-classification</x:v>
      </x:c>
      <x:c r="AG138" s="76" t="str">
        <x:v>DIRECT EXPLICIT</x:v>
      </x:c>
      <x:c r="AH138" s="76" t="str">
        <x:v>Kintzler endorses Prokhoris's account of viral accusation as a performative accusatory machine that creates a substitute public reality rather than submitting claims to judgment.</x:v>
      </x:c>
      <x:c r="AI138" s="76" t="str">
        <x:v>Author version, section “Machine accusatoire, machine performative”</x:v>
      </x:c>
      <x:c r="AJ138" s="76" t="str">
        <x:v>https://www.mezetulle.fr/le-mirage-metoo-de-sabine-prokhoris-lu-par-c-kintzler/</x:v>
      </x:c>
      <x:c r="AK138" s="76" t="str">
        <x:v>DIRECT EXPLICIT</x:v>
      </x:c>
      <x:c r="AL138" s="76" t="str">
        <x:v>She rejects offended identity and testimony as self-validating authority and defends universalism and psychosexual complexity against an offended continuum.</x:v>
      </x:c>
      <x:c r="AM138" s="76" t="str">
        <x:v>Author version, section “Une réalité de substitution par constitution d'un continuum offensé”; review discussion of Prokhoris pp. 141ff and 202ff</x:v>
      </x:c>
      <x:c r="AN138" s="76" t="str">
        <x:v>https://www.mezetulle.fr/le-mirage-metoo-de-sabine-prokhoris-lu-par-c-kintzler/</x:v>
      </x:c>
      <x:c r="AO138" s="76" t="str"/>
      <x:c r="AP138" s="76" t="str">
        <x:v>Multilingual expansion research</x:v>
      </x:c>
      <x:c r="AQ138" s="76" t="str">
        <x:v>GORGONWARS-PREMISE-1.0</x:v>
      </x:c>
      <x:c r="AR138" s="76" t="str">
        <x:v>https://shs.cairn.info/revue-humanisme-2022-1-page-118?lang=fr</x:v>
      </x:c>
      <x:c r="AS138" s="82" t="str">
        <x:f>IF(A138="","",IF(OR(E138="NOT APPLICABLE",E138="PREMISES UNRESOLVED"),"N/A",IF(OR(AND(F138&lt;&gt;"NO EVIDENCE",F138&lt;&gt;"NOT APPLICABLE",OR(AG138="",AH138="",AI138="",AJ138="",AG138="SYSTEM INFERENCE",AG138="ABSTRACT ONLY",AG138="SECONDARY REPORT",AG138="UNVERIFIED",AI138="Exact locator needed",AI138="HAU forum framing; exact target locator needed",AI138="Forum exchange; exact locator needed")),AND(G138&lt;&gt;"NO EVIDENCE",G138&lt;&gt;"NOT APPLICABLE",OR(AK138="",AL138="",AM138="",AN138="",AK138="SYSTEM INFERENCE",AK138="ABSTRACT ONLY",AK138="SECONDARY REPORT",AK138="UNVERIFIED",AM138="Exact locator needed",AM138="HAU forum framing; exact target locator needed",AM138="Forum exchange; exact locator needed"))),"EVIDENCE DEBT","READY")))</x:f>
        <x:v>READY</x:v>
      </x:c>
      <x:c r="AT138" s="77" t="str">
        <x:v>Added in multilingual sexual-freedom expansion.</x:v>
      </x:c>
    </x:row>
    <x:row r="139" ht="50" customHeight="1">
      <x:c r="A139" s="85" t="n">
        <x:v>134</x:v>
      </x:c>
      <x:c r="B139" s="73" t="str">
        <x:v>Active</x:v>
      </x:c>
      <x:c r="C139" s="89" t="n">
        <x:v>2</x:v>
      </x:c>
      <x:c r="D139" s="82" t="str">
        <x:f>IF(C139="","",IFERROR(VLOOKUP(C139,'Database controls'!$A$5:$B$20,2,FALSE),"NEW / UNCATEGORIZED"))</x:f>
        <x:v>Foundational public/private-boundary dissent</x:v>
      </x:c>
      <x:c r="E139" s="73" t="str">
        <x:v>OUTSIDE / EXCOMMUNICABLE</x:v>
      </x:c>
      <x:c r="F139" s="73" t="str">
        <x:v>REJECTS</x:v>
      </x:c>
      <x:c r="G139" s="73" t="str">
        <x:v>REJECTS</x:v>
      </x:c>
      <x:c r="H139" s="82" t="str">
        <x:f>IF(A139="","",IF(OR(F139="REJECTS",G139="REJECTS"),"OUTSIDE / EXCOMMUNICABLE",IF(AND(OR(F139="RETAINS",F139="RETAINS WITH QUALIFICATION"),OR(G139="RETAINS",G139="RETAINS WITH QUALIFICATION")),"INTERNAL GORGONWARS",IF(AND(F139="NOT APPLICABLE",G139="NOT APPLICABLE"),"NOT APPLICABLE","PREMISES UNRESOLVED"))))</x:f>
        <x:v>OUTSIDE / EXCOMMUNICABLE</x:v>
      </x:c>
      <x:c r="I139" s="82" t="str">
        <x:f>IF(A139="","",IF(E139=H139,"OK",IF(AO139&lt;&gt;"","OVERRIDDEN","REVIEW")))</x:f>
        <x:v>OK</x:v>
      </x:c>
      <x:c r="J139" s="73" t="str">
        <x:v>Movement-adjacent root theory against compulsory transparency, identity governance, and contractualized intimacy</x:v>
      </x:c>
      <x:c r="K139" s="73" t="str">
        <x:v>Movement-adjacent</x:v>
      </x:c>
      <x:c r="L139" s="73" t="str">
        <x:v>Peer-reviewed journal article</x:v>
      </x:c>
      <x:c r="M139" s="73" t="str">
        <x:v>Unresolved</x:v>
      </x:c>
      <x:c r="N139" s="89" t="n">
        <x:v>2018</x:v>
      </x:c>
      <x:c r="O139" s="73" t="str">
        <x:v>Monique Selim</x:v>
      </x:c>
      <x:c r="P139" s="73" t="str">
        <x:v>Des intimités transparentes ?</x:v>
      </x:c>
      <x:c r="Q139" s="73" t="str">
        <x:v>Multitudes 73(4):124–130</x:v>
      </x:c>
      <x:c r="R139" s="73" t="str">
        <x:v>French</x:v>
      </x:c>
      <x:c r="S139" s="73" t="str">
        <x:v>Compulsory transparency turns intimacy and ambiguous desire into administratively legible identities, consent scripts, and moral governance, re-essentializing women while claiming liberation.</x:v>
      </x:c>
      <x:c r="T139" s="73" t="str">
        <x:v>A foundational adjacent theory of intimacy, identity, and governance; the retrieved text does not name #MeToo and therefore cannot establish the movement's operation by itself.</x:v>
      </x:c>
      <x:c r="U139" s="73" t="str">
        <x:v>Full text verified</x:v>
      </x:c>
      <x:c r="V139" s="73" t="str">
        <x:v>https://www.multitudes.net/des-intimites-transparentes%E2%80%89/</x:v>
      </x:c>
      <x:c r="W139" s="73" t="str"/>
      <x:c r="X139" s="93" t="n">
        <x:v>46230</x:v>
      </x:c>
      <x:c r="Y139" s="93" t="n">
        <x:v>46230</x:v>
      </x:c>
      <x:c r="Z139" s="73" t="str">
        <x:v>No DOI was verified; do not infer one from Cairn-style patterns.</x:v>
      </x:c>
      <x:c r="AA139" s="73" t="str"/>
      <x:c r="AB139" s="73" t="n">
        <x:v>134</x:v>
      </x:c>
      <x:c r="AC139" s="73" t="str">
        <x:v>FOUNDATIONAL ANTECEDENT</x:v>
      </x:c>
      <x:c r="AD139" s="73" t="str">
        <x:v>MECHANISM / ADJACENT</x:v>
      </x:c>
      <x:c r="AE139" s="73" t="str">
        <x:v>ADJACENT</x:v>
      </x:c>
      <x:c r="AF139" s="73" t="str">
        <x:v>Compulsory transparency, public identity governance, limitless digital exposure, and contractualized sexuality</x:v>
      </x:c>
      <x:c r="AG139" s="73" t="str">
        <x:v>DIRECT ENTAILMENT</x:v>
      </x:c>
      <x:c r="AH139" s="73" t="str">
        <x:v>Selim rejects managerial and digital demands that make intimate life, reproduction, sexuality, and desire publicly legible and governable.</x:v>
      </x:c>
      <x:c r="AI139" s="73" t="str">
        <x:v>Sections “Quelles intimités ?” and “Être sexuellement transparent ?”</x:v>
      </x:c>
      <x:c r="AJ139" s="73" t="str">
        <x:v>https://www.multitudes.net/des-intimites-transparentes%E2%80%89/</x:v>
      </x:c>
      <x:c r="AK139" s="73" t="str">
        <x:v>DIRECT ENTAILMENT</x:v>
      </x:c>
      <x:c r="AL139" s="73" t="str">
        <x:v>She criticizes the sanctification of identity through discrimination and public repair, along with rigid sex archetypes that erase ambiguity and female desire.</x:v>
      </x:c>
      <x:c r="AM139" s="73" t="str">
        <x:v>Sections “De l'origine à l'identité” and “Qui consent ?”</x:v>
      </x:c>
      <x:c r="AN139" s="73" t="str">
        <x:v>https://www.multitudes.net/des-intimites-transparentes%E2%80%89/</x:v>
      </x:c>
      <x:c r="AO139" s="73" t="str"/>
      <x:c r="AP139" s="73" t="str">
        <x:v>Multilingual expansion research</x:v>
      </x:c>
      <x:c r="AQ139" s="73" t="str">
        <x:v>GORGONWARS-PREMISE-1.0</x:v>
      </x:c>
      <x:c r="AR139" s="73" t="str"/>
      <x:c r="AS139" s="82" t="str">
        <x:f>IF(A139="","",IF(OR(E139="NOT APPLICABLE",E139="PREMISES UNRESOLVED"),"N/A",IF(OR(AND(F139&lt;&gt;"NO EVIDENCE",F139&lt;&gt;"NOT APPLICABLE",OR(AG139="",AH139="",AI139="",AJ139="",AG139="SYSTEM INFERENCE",AG139="ABSTRACT ONLY",AG139="SECONDARY REPORT",AG139="UNVERIFIED",AI139="Exact locator needed",AI139="HAU forum framing; exact target locator needed",AI139="Forum exchange; exact locator needed")),AND(G139&lt;&gt;"NO EVIDENCE",G139&lt;&gt;"NOT APPLICABLE",OR(AK139="",AL139="",AM139="",AN139="",AK139="SYSTEM INFERENCE",AK139="ABSTRACT ONLY",AK139="SECONDARY REPORT",AK139="UNVERIFIED",AM139="Exact locator needed",AM139="HAU forum framing; exact target locator needed",AM139="Forum exchange; exact locator needed"))),"EVIDENCE DEBT","READY")))</x:f>
        <x:v>READY</x:v>
      </x:c>
      <x:c r="AT139" s="74" t="str">
        <x:v>Added in multilingual sexual-freedom expansion.</x:v>
      </x:c>
    </x:row>
    <x:row r="140" ht="50" customHeight="1">
      <x:c r="A140" s="86" t="n">
        <x:v>135</x:v>
      </x:c>
      <x:c r="B140" s="76" t="str">
        <x:v>Needs full text</x:v>
      </x:c>
      <x:c r="C140" s="90" t="n">
        <x:v>5</x:v>
      </x:c>
      <x:c r="D140" s="82" t="str">
        <x:f>IF(C140="","",IFERROR(VLOOKUP(C140,'Database controls'!$A$5:$B$20,2,FALSE),"NEW / UNCATEGORIZED"))</x:f>
        <x:v>Desire, agency, and sexual ambiguity</x:v>
      </x:c>
      <x:c r="E140" s="76" t="str">
        <x:v>PREMISES UNRESOLVED</x:v>
      </x:c>
      <x:c r="F140" s="76" t="str">
        <x:v>NO EVIDENCE</x:v>
      </x:c>
      <x:c r="G140" s="76" t="str">
        <x:v>NO EVIDENCE</x:v>
      </x:c>
      <x:c r="H140" s="82" t="str">
        <x:f>IF(A140="","",IF(OR(F140="REJECTS",G140="REJECTS"),"OUTSIDE / EXCOMMUNICABLE",IF(AND(OR(F140="RETAINS",F140="RETAINS WITH QUALIFICATION"),OR(G140="RETAINS",G140="RETAINS WITH QUALIFICATION")),"INTERNAL GORGONWARS",IF(AND(F140="NOT APPLICABLE",G140="NOT APPLICABLE"),"NOT APPLICABLE","PREMISES UNRESOLVED"))))</x:f>
        <x:v>PREMISES UNRESOLVED</x:v>
      </x:c>
      <x:c r="I140" s="82" t="str">
        <x:f>IF(A140="","",IF(E140=H140,"OK",IF(AO140&lt;&gt;"","OVERRIDDEN","REVIEW")))</x:f>
        <x:v>OK</x:v>
      </x:c>
      <x:c r="J140" s="76" t="str">
        <x:v>Direct foundational criticism of #MeToo's causal account of sex inequality, with root premises still unverified</x:v>
      </x:c>
      <x:c r="K140" s="76" t="str">
        <x:v>Direct #MeToo critique</x:v>
      </x:c>
      <x:c r="L140" s="76" t="str">
        <x:v>Peer-reviewed journal article</x:v>
      </x:c>
      <x:c r="M140" s="76" t="str">
        <x:v>Unresolved</x:v>
      </x:c>
      <x:c r="N140" s="90" t="n">
        <x:v>2025</x:v>
      </x:c>
      <x:c r="O140" s="76" t="str">
        <x:v>Marcela Iacub</x:v>
      </x:c>
      <x:c r="P140" s="76" t="str">
        <x:v>La révolution #MeToo : genre, droit et politique</x:v>
      </x:c>
      <x:c r="Q140" s="76" t="str">
        <x:v>Savoirs et clinique 32(1):61–70</x:v>
      </x:c>
      <x:c r="R140" s="76" t="str">
        <x:v>French</x:v>
      </x:c>
      <x:c r="S140" s="76" t="str">
        <x:v>#MeToo builds policy on a mistaken causal story that treats sex inequality as the product of male sexual violence; law and politics need alternatives based on a different account of inequality.</x:v>
      </x:c>
      <x:c r="T140" s="76" t="str">
        <x:v>The accessible abstract proves a foundational movement critique but does not yet prove rejection or retention of either the personal-is-political or standpoint premise.</x:v>
      </x:c>
      <x:c r="U140" s="76" t="str">
        <x:v>Abstract only</x:v>
      </x:c>
      <x:c r="V140" s="76" t="str">
        <x:v>https://www.researchgate.net/publication/389816363_La_revolution_MeToo_genre_droit_et_politique</x:v>
      </x:c>
      <x:c r="W140" s="76" t="str">
        <x:v>10.3917/sc.032.0061</x:v>
      </x:c>
      <x:c r="X140" s="94" t="n">
        <x:v>46230</x:v>
      </x:c>
      <x:c r="Y140" s="94" t="n">
        <x:v>46230</x:v>
      </x:c>
      <x:c r="Z140" s="76" t="str">
        <x:v>Do not convert rejection of one causal account into rejection of either project premise without the full text.</x:v>
      </x:c>
      <x:c r="AA140" s="76" t="str"/>
      <x:c r="AB140" s="76" t="n">
        <x:v>135</x:v>
      </x:c>
      <x:c r="AC140" s="76" t="str">
        <x:v>ADJACENT CONTEXT</x:v>
      </x:c>
      <x:c r="AD140" s="76" t="str">
        <x:v>EXPLICIT CRITIQUE</x:v>
      </x:c>
      <x:c r="AE140" s="76" t="str">
        <x:v>YES</x:v>
      </x:c>
      <x:c r="AF140" s="76" t="str">
        <x:v>#MeToo's causal premise that male sexual violence produces male-female social inequality</x:v>
      </x:c>
      <x:c r="AG140" s="76" t="str">
        <x:v>NO EVIDENCE</x:v>
      </x:c>
      <x:c r="AH140" s="76" t="str"/>
      <x:c r="AI140" s="76" t="str"/>
      <x:c r="AJ140" s="76" t="str"/>
      <x:c r="AK140" s="76" t="str">
        <x:v>NO EVIDENCE</x:v>
      </x:c>
      <x:c r="AL140" s="76" t="str"/>
      <x:c r="AM140" s="76" t="str"/>
      <x:c r="AN140" s="76" t="str"/>
      <x:c r="AO140" s="76" t="str"/>
      <x:c r="AP140" s="76" t="str">
        <x:v>Multilingual expansion research</x:v>
      </x:c>
      <x:c r="AQ140" s="76" t="str">
        <x:v>GORGONWARS-PREMISE-1.0</x:v>
      </x:c>
      <x:c r="AR140" s="76" t="str">
        <x:v>https://doi.org/10.3917/sc.032.0061</x:v>
      </x:c>
      <x:c r="AS140" s="82" t="str">
        <x:f>IF(A140="","",IF(OR(E140="NOT APPLICABLE",E140="PREMISES UNRESOLVED"),"N/A",IF(OR(AND(F140&lt;&gt;"NO EVIDENCE",F140&lt;&gt;"NOT APPLICABLE",OR(AG140="",AH140="",AI140="",AJ140="",AG140="SYSTEM INFERENCE",AG140="ABSTRACT ONLY",AG140="SECONDARY REPORT",AG140="UNVERIFIED",AI140="Exact locator needed",AI140="HAU forum framing; exact target locator needed",AI140="Forum exchange; exact locator needed")),AND(G140&lt;&gt;"NO EVIDENCE",G140&lt;&gt;"NOT APPLICABLE",OR(AK140="",AL140="",AM140="",AN140="",AK140="SYSTEM INFERENCE",AK140="ABSTRACT ONLY",AK140="SECONDARY REPORT",AK140="UNVERIFIED",AM140="Exact locator needed",AM140="HAU forum framing; exact target locator needed",AM140="Forum exchange; exact locator needed"))),"EVIDENCE DEBT","READY")))</x:f>
        <x:v>N/A</x:v>
      </x:c>
      <x:c r="AT140" s="77" t="str">
        <x:v>Added in multilingual sexual-freedom expansion.</x:v>
      </x:c>
    </x:row>
    <x:row r="141" ht="50" customHeight="1">
      <x:c r="A141" s="85" t="n">
        <x:v>136</x:v>
      </x:c>
      <x:c r="B141" s="73" t="str">
        <x:v>Active</x:v>
      </x:c>
      <x:c r="C141" s="89" t="n">
        <x:v>5</x:v>
      </x:c>
      <x:c r="D141" s="82" t="str">
        <x:f>IF(C141="","",IFERROR(VLOOKUP(C141,'Database controls'!$A$5:$B$20,2,FALSE),"NEW / UNCATEGORIZED"))</x:f>
        <x:v>Desire, agency, and sexual ambiguity</x:v>
      </x:c>
      <x:c r="E141" s="73" t="str">
        <x:v>INTERNAL GORGONWARS</x:v>
      </x:c>
      <x:c r="F141" s="73" t="str">
        <x:v>RETAINS</x:v>
      </x:c>
      <x:c r="G141" s="73" t="str">
        <x:v>RETAINS WITH QUALIFICATION</x:v>
      </x:c>
      <x:c r="H141" s="82" t="str">
        <x:f>IF(A141="","",IF(OR(F141="REJECTS",G141="REJECTS"),"OUTSIDE / EXCOMMUNICABLE",IF(AND(OR(F141="RETAINS",F141="RETAINS WITH QUALIFICATION"),OR(G141="RETAINS",G141="RETAINS WITH QUALIFICATION")),"INTERNAL GORGONWARS",IF(AND(F141="NOT APPLICABLE",G141="NOT APPLICABLE"),"NOT APPLICABLE","PREMISES UNRESOLVED"))))</x:f>
        <x:v>INTERNAL GORGONWARS</x:v>
      </x:c>
      <x:c r="I141" s="82" t="str">
        <x:f>IF(A141="","",IF(E141=H141,"OK",IF(AO141&lt;&gt;"","OVERRIDDEN","REVIEW")))</x:f>
        <x:v>OK</x:v>
      </x:c>
      <x:c r="J141" s="73" t="str">
        <x:v>Internal pro-sex feminist critique of bureaucratic protectionism and passive-victim models</x:v>
      </x:c>
      <x:c r="K141" s="73" t="str">
        <x:v>Direct #MeToo defense / internal reply</x:v>
      </x:c>
      <x:c r="L141" s="73" t="str">
        <x:v>Academic forum / editorial</x:v>
      </x:c>
      <x:c r="M141" s="73" t="str">
        <x:v>Academic forum / editorial</x:v>
      </x:c>
      <x:c r="N141" s="89" t="n">
        <x:v>2019</x:v>
      </x:c>
      <x:c r="O141" s="73" t="str">
        <x:v>Jane Gallop</x:v>
      </x:c>
      <x:c r="P141" s="73" t="str">
        <x:v>Laura Kipnis. Unwanted Advances: Sexual Paranoia Comes to Campus</x:v>
      </x:c>
      <x:c r="Q141" s="73" t="str">
        <x:v>Critical Inquiry 45(2):557–558</x:v>
      </x:c>
      <x:c r="R141" s="73" t="str">
        <x:v>English</x:v>
      </x:c>
      <x:c r="S141" s="73" t="str">
        <x:v>The anti-harassment fight is necessary, but it betrays feminism when bureaucracies protect supposedly delicate women by erasing erotic agency and reviving paternalism.</x:v>
      </x:c>
      <x:c r="T141" s="73" t="str">
        <x:v>A scholarly book review that explicitly praises #MeToo; its retention of technical standpoint epistemology is a system inference rather than a direct statement and remains an evidence debt.</x:v>
      </x:c>
      <x:c r="U141" s="73" t="str">
        <x:v>Full text verified</x:v>
      </x:c>
      <x:c r="V141" s="73" t="str">
        <x:v>https://criticalinquiry.uchicago.edu/jane_gallop_reviews_unwanted_advances/</x:v>
      </x:c>
      <x:c r="W141" s="73" t="str">
        <x:v>10.1086/701001</x:v>
      </x:c>
      <x:c r="X141" s="93" t="n">
        <x:v>46230</x:v>
      </x:c>
      <x:c r="Y141" s="93" t="n">
        <x:v>46230</x:v>
      </x:c>
      <x:c r="Z141" s="73" t="str">
        <x:v>The internal classification should remain visibly evidence-debted on standpoint rather than treating pro-sex feminist identity as premise proof.</x:v>
      </x:c>
      <x:c r="AA141" s="73" t="str"/>
      <x:c r="AB141" s="73" t="n">
        <x:v>136</x:v>
      </x:c>
      <x:c r="AC141" s="73" t="str">
        <x:v>INTERNAL IMMANENT CRITIQUE</x:v>
      </x:c>
      <x:c r="AD141" s="73" t="str">
        <x:v>MIXED / QUALIFIED CRITIQUE</x:v>
      </x:c>
      <x:c r="AE141" s="73" t="str">
        <x:v>YES</x:v>
      </x:c>
      <x:c r="AF141" s="73" t="str">
        <x:v>Bureaucratic protectionism, traditional female delicacy, passive-victim framing, and loss of sexual agency</x:v>
      </x:c>
      <x:c r="AG141" s="73" t="str">
        <x:v>DIRECT EXPLICIT</x:v>
      </x:c>
      <x:c r="AH141" s="73" t="str">
        <x:v>Gallop calls #MeToo particularly heartening because women publicly condemn unwanted advances in the name of sexual agency.</x:v>
      </x:c>
      <x:c r="AI141" s="73" t="str">
        <x:v>Closing paragraphs</x:v>
      </x:c>
      <x:c r="AJ141" s="73" t="str">
        <x:v>https://criticalinquiry.uchicago.edu/jane_gallop_reviews_unwanted_advances/</x:v>
      </x:c>
      <x:c r="AK141" s="73" t="str">
        <x:v>SYSTEM INFERENCE</x:v>
      </x:c>
      <x:c r="AL141" s="73" t="str">
        <x:v>System inference: Gallop's pro-sex feminist framing gives women's collective account of sexual agency political weight while rejecting a passive-victim essentialism; the review does not state a technical standpoint doctrine.</x:v>
      </x:c>
      <x:c r="AM141" s="73" t="str">
        <x:v>Paragraphs 2–3 and closing paragraphs</x:v>
      </x:c>
      <x:c r="AN141" s="73" t="str">
        <x:v>https://criticalinquiry.uchicago.edu/jane_gallop_reviews_unwanted_advances/</x:v>
      </x:c>
      <x:c r="AO141" s="73" t="str"/>
      <x:c r="AP141" s="73" t="str">
        <x:v>Multilingual expansion research</x:v>
      </x:c>
      <x:c r="AQ141" s="73" t="str">
        <x:v>GORGONWARS-PREMISE-1.0</x:v>
      </x:c>
      <x:c r="AR141" s="73" t="str"/>
      <x:c r="AS141" s="82" t="str">
        <x:f>IF(A141="","",IF(OR(E141="NOT APPLICABLE",E141="PREMISES UNRESOLVED"),"N/A",IF(OR(AND(F141&lt;&gt;"NO EVIDENCE",F141&lt;&gt;"NOT APPLICABLE",OR(AG141="",AH141="",AI141="",AJ141="",AG141="SYSTEM INFERENCE",AG141="ABSTRACT ONLY",AG141="SECONDARY REPORT",AG141="UNVERIFIED",AI141="Exact locator needed",AI141="HAU forum framing; exact target locator needed",AI141="Forum exchange; exact locator needed")),AND(G141&lt;&gt;"NO EVIDENCE",G141&lt;&gt;"NOT APPLICABLE",OR(AK141="",AL141="",AM141="",AN141="",AK141="SYSTEM INFERENCE",AK141="ABSTRACT ONLY",AK141="SECONDARY REPORT",AK141="UNVERIFIED",AM141="Exact locator needed",AM141="HAU forum framing; exact target locator needed",AM141="Forum exchange; exact locator needed"))),"EVIDENCE DEBT","READY")))</x:f>
        <x:v>EVIDENCE DEBT</x:v>
      </x:c>
      <x:c r="AT141" s="74" t="str">
        <x:v>Added in multilingual sexual-freedom expansion.</x:v>
      </x:c>
    </x:row>
    <x:row r="142" ht="50" customHeight="1">
      <x:c r="A142" s="86" t="n">
        <x:v>137</x:v>
      </x:c>
      <x:c r="B142" s="76" t="str">
        <x:v>Active</x:v>
      </x:c>
      <x:c r="C142" s="90" t="n">
        <x:v>3</x:v>
      </x:c>
      <x:c r="D142" s="82" t="str">
        <x:f>IF(C142="","",IFERROR(VLOOKUP(C142,'Database controls'!$A$5:$B$20,2,FALSE),"NEW / UNCATEGORIZED"))</x:f>
        <x:v>PIP-retaining public/private reconstruction and internal control</x:v>
      </x:c>
      <x:c r="E142" s="76" t="str">
        <x:v>INTERNAL GORGONWARS</x:v>
      </x:c>
      <x:c r="F142" s="76" t="str">
        <x:v>RETAINS</x:v>
      </x:c>
      <x:c r="G142" s="76" t="str">
        <x:v>RETAINS WITH QUALIFICATION</x:v>
      </x:c>
      <x:c r="H142" s="82" t="str">
        <x:f>IF(A142="","",IF(OR(F142="REJECTS",G142="REJECTS"),"OUTSIDE / EXCOMMUNICABLE",IF(AND(OR(F142="RETAINS",F142="RETAINS WITH QUALIFICATION"),OR(G142="RETAINS",G142="RETAINS WITH QUALIFICATION")),"INTERNAL GORGONWARS",IF(AND(F142="NOT APPLICABLE",G142="NOT APPLICABLE"),"NOT APPLICABLE","PREMISES UNRESOLVED"))))</x:f>
        <x:v>INTERNAL GORGONWARS</x:v>
      </x:c>
      <x:c r="I142" s="82" t="str">
        <x:f>IF(A142="","",IF(E142=H142,"OK",IF(AO142&lt;&gt;"","OVERRIDDEN","REVIEW")))</x:f>
        <x:v>OK</x:v>
      </x:c>
      <x:c r="J142" s="76" t="str">
        <x:v>Internal feminist critique of affective homophily, emotional conformity, and the suppression of dissent</x:v>
      </x:c>
      <x:c r="K142" s="76" t="str">
        <x:v>Direct #MeToo defense / internal reply</x:v>
      </x:c>
      <x:c r="L142" s="76" t="str">
        <x:v>Peer-reviewed journal article</x:v>
      </x:c>
      <x:c r="M142" s="76" t="str">
        <x:v>Peer-reviewed</x:v>
      </x:c>
      <x:c r="N142" s="90" t="n">
        <x:v>2019</x:v>
      </x:c>
      <x:c r="O142" s="76" t="str">
        <x:v>Jenny Sundén and Susanna Paasonen</x:v>
      </x:c>
      <x:c r="P142" s="76" t="str">
        <x:v>Inappropriate Laughter: Affective Homophily and the Unlikely Comedy of #MeToo</x:v>
      </x:c>
      <x:c r="Q142" s="76" t="str">
        <x:v>Social Media + Society 5(4)</x:v>
      </x:c>
      <x:c r="R142" s="76" t="str">
        <x:v>English</x:v>
      </x:c>
      <x:c r="S142" s="76" t="str">
        <x:v>Shared outrage can mobilize #MeToo, but solidarity that requires everyone to feel the same suffocates dissent, ambiguity, and feminism's disruptive humor.</x:v>
      </x:c>
      <x:c r="T142" s="76" t="str">
        <x:v>An affect and humor analysis centered on Nanette, not a rejection of either foundational premise; retention of standpoint is a system inference and should remain flagged.</x:v>
      </x:c>
      <x:c r="U142" s="76" t="str">
        <x:v>Full text verified</x:v>
      </x:c>
      <x:c r="V142" s="76" t="str">
        <x:v>https://journals.sagepub.com/doi/10.1177/2056305119883425</x:v>
      </x:c>
      <x:c r="W142" s="76" t="str">
        <x:v>10.1177/2056305119883425</x:v>
      </x:c>
      <x:c r="X142" s="94" t="n">
        <x:v>46230</x:v>
      </x:c>
      <x:c r="Y142" s="94" t="n">
        <x:v>46230</x:v>
      </x:c>
      <x:c r="Z142" s="76" t="str">
        <x:v>Internal placement is topical and interpretive; the system-inference evidence strength preserves the unresolved technical standpoint question.</x:v>
      </x:c>
      <x:c r="AA142" s="76" t="str"/>
      <x:c r="AB142" s="76" t="n">
        <x:v>137</x:v>
      </x:c>
      <x:c r="AC142" s="76" t="str">
        <x:v>INTERNAL IMMANENT CRITIQUE</x:v>
      </x:c>
      <x:c r="AD142" s="76" t="str">
        <x:v>MIXED / QUALIFIED CRITIQUE</x:v>
      </x:c>
      <x:c r="AE142" s="76" t="str">
        <x:v>YES</x:v>
      </x:c>
      <x:c r="AF142" s="76" t="str">
        <x:v>Affective homophily, compulsory emotional sameness, seriousness policing, and resistance to dissent</x:v>
      </x:c>
      <x:c r="AG142" s="76" t="str">
        <x:v>DIRECT ENTAILMENT</x:v>
      </x:c>
      <x:c r="AH142" s="76" t="str">
        <x:v>The article accepts #MeToo as collective feminist public action while asking how its affective form can remain open to friction and difference.</x:v>
      </x:c>
      <x:c r="AI142" s="76" t="str">
        <x:v>Abstract and conclusion</x:v>
      </x:c>
      <x:c r="AJ142" s="76" t="str">
        <x:v>https://journals.sagepub.com/doi/10.1177/2056305119883425</x:v>
      </x:c>
      <x:c r="AK142" s="76" t="str">
        <x:v>SYSTEM INFERENCE</x:v>
      </x:c>
      <x:c r="AL142" s="76" t="str">
        <x:v>System inference: the authors retain feminist affective collectivity and situated experience while qualifying its authority through affective heterophily and openness to dissent.</x:v>
      </x:c>
      <x:c r="AM142" s="76" t="str">
        <x:v>Abstract and conclusion</x:v>
      </x:c>
      <x:c r="AN142" s="76" t="str">
        <x:v>https://journals.sagepub.com/doi/10.1177/2056305119883425</x:v>
      </x:c>
      <x:c r="AO142" s="76" t="str"/>
      <x:c r="AP142" s="76" t="str">
        <x:v>Multilingual expansion research</x:v>
      </x:c>
      <x:c r="AQ142" s="76" t="str">
        <x:v>GORGONWARS-PREMISE-1.0</x:v>
      </x:c>
      <x:c r="AR142" s="76" t="str"/>
      <x:c r="AS142" s="82" t="str">
        <x:f>IF(A142="","",IF(OR(E142="NOT APPLICABLE",E142="PREMISES UNRESOLVED"),"N/A",IF(OR(AND(F142&lt;&gt;"NO EVIDENCE",F142&lt;&gt;"NOT APPLICABLE",OR(AG142="",AH142="",AI142="",AJ142="",AG142="SYSTEM INFERENCE",AG142="ABSTRACT ONLY",AG142="SECONDARY REPORT",AG142="UNVERIFIED",AI142="Exact locator needed",AI142="HAU forum framing; exact target locator needed",AI142="Forum exchange; exact locator needed")),AND(G142&lt;&gt;"NO EVIDENCE",G142&lt;&gt;"NOT APPLICABLE",OR(AK142="",AL142="",AM142="",AN142="",AK142="SYSTEM INFERENCE",AK142="ABSTRACT ONLY",AK142="SECONDARY REPORT",AK142="UNVERIFIED",AM142="Exact locator needed",AM142="HAU forum framing; exact target locator needed",AM142="Forum exchange; exact locator needed"))),"EVIDENCE DEBT","READY")))</x:f>
        <x:v>EVIDENCE DEBT</x:v>
      </x:c>
      <x:c r="AT142" s="77" t="str">
        <x:v>Added in multilingual sexual-freedom expansion.</x:v>
      </x:c>
    </x:row>
    <x:row r="143" ht="50" customHeight="1">
      <x:c r="A143" s="85" t="n">
        <x:v>138</x:v>
      </x:c>
      <x:c r="B143" s="73" t="str">
        <x:v>Active</x:v>
      </x:c>
      <x:c r="C143" s="89" t="n">
        <x:v>7</x:v>
      </x:c>
      <x:c r="D143" s="82" t="str">
        <x:f>IF(C143="","",IFERROR(VLOOKUP(C143,'Database controls'!$A$5:$B$20,2,FALSE),"NEW / UNCATEGORIZED"))</x:f>
        <x:v>Workplace and institutional consequences</x:v>
      </x:c>
      <x:c r="E143" s="73" t="str">
        <x:v>INTERNAL GORGONWARS</x:v>
      </x:c>
      <x:c r="F143" s="73" t="str">
        <x:v>RETAINS</x:v>
      </x:c>
      <x:c r="G143" s="73" t="str">
        <x:v>RETAINS WITH QUALIFICATION</x:v>
      </x:c>
      <x:c r="H143" s="82" t="str">
        <x:f>IF(A143="","",IF(OR(F143="REJECTS",G143="REJECTS"),"OUTSIDE / EXCOMMUNICABLE",IF(AND(OR(F143="RETAINS",F143="RETAINS WITH QUALIFICATION"),OR(G143="RETAINS",G143="RETAINS WITH QUALIFICATION")),"INTERNAL GORGONWARS",IF(AND(F143="NOT APPLICABLE",G143="NOT APPLICABLE"),"NOT APPLICABLE","PREMISES UNRESOLVED"))))</x:f>
        <x:v>INTERNAL GORGONWARS</x:v>
      </x:c>
      <x:c r="I143" s="82" t="str">
        <x:f>IF(A143="","",IF(E143=H143,"OK",IF(AO143&lt;&gt;"","OVERRIDDEN","REVIEW")))</x:f>
        <x:v>OK</x:v>
      </x:c>
      <x:c r="J143" s="73" t="str">
        <x:v>Empirical internal critique of verification failures, anonymous sourcing, and personalized scandal coverage</x:v>
      </x:c>
      <x:c r="K143" s="73" t="str">
        <x:v>Empirical consequence study</x:v>
      </x:c>
      <x:c r="L143" s="73" t="str">
        <x:v>Peer-reviewed journal article</x:v>
      </x:c>
      <x:c r="M143" s="73" t="str">
        <x:v>Peer-reviewed</x:v>
      </x:c>
      <x:c r="N143" s="89" t="n">
        <x:v>2021</x:v>
      </x:c>
      <x:c r="O143" s="73" t="str">
        <x:v>Sigurd Allern and Ester Pollack</x:v>
      </x:c>
      <x:c r="P143" s="73" t="str">
        <x:v>When journalists lose their foothold: Swedish and Norwegian verification scandals in #Metoo-movement coverage</x:v>
      </x:c>
      <x:c r="Q143" s="73" t="str">
        <x:v>Journalistica 15(1)</x:v>
      </x:c>
      <x:c r="R143" s="73" t="str">
        <x:v>English</x:v>
      </x:c>
      <x:c r="S143" s="73" t="str">
        <x:v>#MeToo exposed a real structural problem, but market-driven scandal journalism betrayed it by publishing unverified personalized stories that harmed people and displaced structural reform.</x:v>
      </x:c>
      <x:c r="T143" s="73" t="str">
        <x:v>The article critiques media coverage and verification rather than #MeToo's foundational premises; its standpoint position is qualified rather than rejected.</x:v>
      </x:c>
      <x:c r="U143" s="73" t="str">
        <x:v>Full text verified</x:v>
      </x:c>
      <x:c r="V143" s="73" t="str">
        <x:v>https://tidsskrift.dk/journalistica/article/view/125415</x:v>
      </x:c>
      <x:c r="W143" s="73" t="str">
        <x:v>10.7146/journalistica.v15i1.125415</x:v>
      </x:c>
      <x:c r="X143" s="93" t="n">
        <x:v>46230</x:v>
      </x:c>
      <x:c r="Y143" s="93" t="n">
        <x:v>46230</x:v>
      </x:c>
      <x:c r="Z143" s="73" t="str">
        <x:v>The critique is of journalism's handling of allegations, not a denial of survivor speech or structural analysis.</x:v>
      </x:c>
      <x:c r="AA143" s="73" t="str"/>
      <x:c r="AB143" s="73" t="n">
        <x:v>138</x:v>
      </x:c>
      <x:c r="AC143" s="73" t="str">
        <x:v>INTERNAL IMMANENT CRITIQUE</x:v>
      </x:c>
      <x:c r="AD143" s="73" t="str">
        <x:v>MIXED / QUALIFIED CRITIQUE</x:v>
      </x:c>
      <x:c r="AE143" s="73" t="str">
        <x:v>YES</x:v>
      </x:c>
      <x:c r="AF143" s="73" t="str">
        <x:v>Journalistic verification failures, anonymous sourcing, market-driven scandalization, and personalization</x:v>
      </x:c>
      <x:c r="AG143" s="73" t="str">
        <x:v>DIRECT EXPLICIT</x:v>
      </x:c>
      <x:c r="AH143" s="73" t="str">
        <x:v>The authors affirm the structural reality and political importance of sexual harassment exposed by #MeToo while criticizing its journalistic treatment.</x:v>
      </x:c>
      <x:c r="AI143" s="73" t="str">
        <x:v>Abstract and conclusion</x:v>
      </x:c>
      <x:c r="AJ143" s="73" t="str">
        <x:v>https://tidsskrift.dk/journalistica/article/view/125415</x:v>
      </x:c>
      <x:c r="AK143" s="73" t="str">
        <x:v>DIRECT ENTAILMENT</x:v>
      </x:c>
      <x:c r="AL143" s="73" t="str">
        <x:v>The article treats anonymous accuser accounts as potentially important evidence but insists that journalists corroborate, contextualize, and test them before publication.</x:v>
      </x:c>
      <x:c r="AM143" s="73" t="str">
        <x:v>Abstract; Benny Fredriksson and Trond Giske case analyses; conclusion</x:v>
      </x:c>
      <x:c r="AN143" s="73" t="str">
        <x:v>https://tidsskrift.dk/journalistica/article/view/125415</x:v>
      </x:c>
      <x:c r="AO143" s="73" t="str"/>
      <x:c r="AP143" s="73" t="str">
        <x:v>Multilingual expansion research</x:v>
      </x:c>
      <x:c r="AQ143" s="73" t="str">
        <x:v>GORGONWARS-PREMISE-1.0</x:v>
      </x:c>
      <x:c r="AR143" s="73" t="str"/>
      <x:c r="AS143" s="82" t="str">
        <x:f>IF(A143="","",IF(OR(E143="NOT APPLICABLE",E143="PREMISES UNRESOLVED"),"N/A",IF(OR(AND(F143&lt;&gt;"NO EVIDENCE",F143&lt;&gt;"NOT APPLICABLE",OR(AG143="",AH143="",AI143="",AJ143="",AG143="SYSTEM INFERENCE",AG143="ABSTRACT ONLY",AG143="SECONDARY REPORT",AG143="UNVERIFIED",AI143="Exact locator needed",AI143="HAU forum framing; exact target locator needed",AI143="Forum exchange; exact locator needed")),AND(G143&lt;&gt;"NO EVIDENCE",G143&lt;&gt;"NOT APPLICABLE",OR(AK143="",AL143="",AM143="",AN143="",AK143="SYSTEM INFERENCE",AK143="ABSTRACT ONLY",AK143="SECONDARY REPORT",AK143="UNVERIFIED",AM143="Exact locator needed",AM143="HAU forum framing; exact target locator needed",AM143="Forum exchange; exact locator needed"))),"EVIDENCE DEBT","READY")))</x:f>
        <x:v>READY</x:v>
      </x:c>
      <x:c r="AT143" s="74" t="str">
        <x:v>Added in multilingual sexual-freedom expansion.</x:v>
      </x:c>
    </x:row>
    <x:row r="144" ht="50" customHeight="1">
      <x:c r="A144" s="86" t="n">
        <x:v>139</x:v>
      </x:c>
      <x:c r="B144" s="76" t="str">
        <x:v>Needs full text</x:v>
      </x:c>
      <x:c r="C144" s="90" t="n">
        <x:v>5</x:v>
      </x:c>
      <x:c r="D144" s="82" t="str">
        <x:f>IF(C144="","",IFERROR(VLOOKUP(C144,'Database controls'!$A$5:$B$20,2,FALSE),"NEW / UNCATEGORIZED"))</x:f>
        <x:v>Desire, agency, and sexual ambiguity</x:v>
      </x:c>
      <x:c r="E144" s="76" t="str">
        <x:v>PREMISES UNRESOLVED</x:v>
      </x:c>
      <x:c r="F144" s="76" t="str">
        <x:v>RETAINS</x:v>
      </x:c>
      <x:c r="G144" s="76" t="str">
        <x:v>NO EVIDENCE</x:v>
      </x:c>
      <x:c r="H144" s="82" t="str">
        <x:f>IF(A144="","",IF(OR(F144="REJECTS",G144="REJECTS"),"OUTSIDE / EXCOMMUNICABLE",IF(AND(OR(F144="RETAINS",F144="RETAINS WITH QUALIFICATION"),OR(G144="RETAINS",G144="RETAINS WITH QUALIFICATION")),"INTERNAL GORGONWARS",IF(AND(F144="NOT APPLICABLE",G144="NOT APPLICABLE"),"NOT APPLICABLE","PREMISES UNRESOLVED"))))</x:f>
        <x:v>PREMISES UNRESOLVED</x:v>
      </x:c>
      <x:c r="I144" s="82" t="str">
        <x:f>IF(A144="","",IF(E144=H144,"OK",IF(AO144&lt;&gt;"","OVERRIDDEN","REVIEW")))</x:f>
        <x:v>OK</x:v>
      </x:c>
      <x:c r="J144" s="76" t="str">
        <x:v>Internal or unresolved feminist theory of consent professionalization, testimonial media, and harassment inflation</x:v>
      </x:c>
      <x:c r="K144" s="76" t="str">
        <x:v>Movement-adjacent</x:v>
      </x:c>
      <x:c r="L144" s="76" t="str">
        <x:v>Peer-reviewed journal article</x:v>
      </x:c>
      <x:c r="M144" s="76" t="str">
        <x:v>Peer-reviewed</x:v>
      </x:c>
      <x:c r="N144" s="90" t="n">
        <x:v>2024</x:v>
      </x:c>
      <x:c r="O144" s="76" t="str">
        <x:v>Sarah Cefai</x:v>
      </x:c>
      <x:c r="P144" s="76" t="str">
        <x:v>Consent-deception: a feminist cultural media theory of commonsense consent</x:v>
      </x:c>
      <x:c r="Q144" s="76" t="str">
        <x:v>Feminist Theory</x:v>
      </x:c>
      <x:c r="R144" s="76" t="str">
        <x:v>English</x:v>
      </x:c>
      <x:c r="S144" s="76" t="str">
        <x:v>Professionalized consent systems and testimonial media can teach people to read sex through suspicion, inflate harassment, and mistake social-media traces for transparent evidence.</x:v>
      </x:c>
      <x:c r="T144" s="76" t="str">
        <x:v>A theoretical consent and media critique; accessible evidence shows retention of feminist politicization but does not establish a position on standpoint authority.</x:v>
      </x:c>
      <x:c r="U144" s="76" t="str">
        <x:v>Abstract only</x:v>
      </x:c>
      <x:c r="V144" s="76" t="str">
        <x:v>https://journals.sagepub.com/doi/10.1177/14647001231206026</x:v>
      </x:c>
      <x:c r="W144" s="76" t="str">
        <x:v>10.1177/14647001231206026</x:v>
      </x:c>
      <x:c r="X144" s="94" t="n">
        <x:v>46230</x:v>
      </x:c>
      <x:c r="Y144" s="94" t="n">
        <x:v>46230</x:v>
      </x:c>
      <x:c r="Z144" s="76" t="str">
        <x:v>Do not infer rejection of standpoint from questioning the evidentiary status of informational social media.</x:v>
      </x:c>
      <x:c r="AA144" s="76" t="str"/>
      <x:c r="AB144" s="76" t="n">
        <x:v>139</x:v>
      </x:c>
      <x:c r="AC144" s="76" t="str">
        <x:v>INTERNAL IMMANENT CRITIQUE</x:v>
      </x:c>
      <x:c r="AD144" s="76" t="str">
        <x:v>MIXED / QUALIFIED CRITIQUE</x:v>
      </x:c>
      <x:c r="AE144" s="76" t="str">
        <x:v>YES</x:v>
      </x:c>
      <x:c r="AF144" s="76" t="str">
        <x:v>Consent professionalization, the consent industry, paranoia, harassment inflation, and social-media evidence</x:v>
      </x:c>
      <x:c r="AG144" s="76" t="str">
        <x:v>ABSTRACT ONLY</x:v>
      </x:c>
      <x:c r="AH144" s="76" t="str">
        <x:v>Cefai conducts an expressly feminist cultural-media theorization of consent and #MeToo rather than defending an independent private sphere from politicization.</x:v>
      </x:c>
      <x:c r="AI144" s="76" t="str">
        <x:v>Abstract and publisher description</x:v>
      </x:c>
      <x:c r="AJ144" s="76" t="str">
        <x:v>https://journals.sagepub.com/doi/10.1177/14647001231206026</x:v>
      </x:c>
      <x:c r="AK144" s="76" t="str">
        <x:v>NO EVIDENCE</x:v>
      </x:c>
      <x:c r="AL144" s="76" t="str"/>
      <x:c r="AM144" s="76" t="str"/>
      <x:c r="AN144" s="76" t="str"/>
      <x:c r="AO144" s="76" t="str"/>
      <x:c r="AP144" s="76" t="str">
        <x:v>Multilingual expansion research</x:v>
      </x:c>
      <x:c r="AQ144" s="76" t="str">
        <x:v>GORGONWARS-PREMISE-1.0</x:v>
      </x:c>
      <x:c r="AR144" s="76" t="str"/>
      <x:c r="AS144" s="82" t="str">
        <x:f>IF(A144="","",IF(OR(E144="NOT APPLICABLE",E144="PREMISES UNRESOLVED"),"N/A",IF(OR(AND(F144&lt;&gt;"NO EVIDENCE",F144&lt;&gt;"NOT APPLICABLE",OR(AG144="",AH144="",AI144="",AJ144="",AG144="SYSTEM INFERENCE",AG144="ABSTRACT ONLY",AG144="SECONDARY REPORT",AG144="UNVERIFIED",AI144="Exact locator needed",AI144="HAU forum framing; exact target locator needed",AI144="Forum exchange; exact locator needed")),AND(G144&lt;&gt;"NO EVIDENCE",G144&lt;&gt;"NOT APPLICABLE",OR(AK144="",AL144="",AM144="",AN144="",AK144="SYSTEM INFERENCE",AK144="ABSTRACT ONLY",AK144="SECONDARY REPORT",AK144="UNVERIFIED",AM144="Exact locator needed",AM144="HAU forum framing; exact target locator needed",AM144="Forum exchange; exact locator needed"))),"EVIDENCE DEBT","READY")))</x:f>
        <x:v>N/A</x:v>
      </x:c>
      <x:c r="AT144" s="77" t="str">
        <x:v>Added in multilingual sexual-freedom expansion.</x:v>
      </x:c>
    </x:row>
    <x:row r="145" ht="50" customHeight="1">
      <x:c r="A145" s="85" t="n">
        <x:v>140</x:v>
      </x:c>
      <x:c r="B145" s="73" t="str">
        <x:v>Needs full text</x:v>
      </x:c>
      <x:c r="C145" s="89" t="n">
        <x:v>5</x:v>
      </x:c>
      <x:c r="D145" s="82" t="str">
        <x:f>IF(C145="","",IFERROR(VLOOKUP(C145,'Database controls'!$A$5:$B$20,2,FALSE),"NEW / UNCATEGORIZED"))</x:f>
        <x:v>Desire, agency, and sexual ambiguity</x:v>
      </x:c>
      <x:c r="E145" s="73" t="str">
        <x:v>PREMISES UNRESOLVED</x:v>
      </x:c>
      <x:c r="F145" s="73" t="str">
        <x:v>NO EVIDENCE</x:v>
      </x:c>
      <x:c r="G145" s="73" t="str">
        <x:v>NO EVIDENCE</x:v>
      </x:c>
      <x:c r="H145" s="82" t="str">
        <x:f>IF(A145="","",IF(OR(F145="REJECTS",G145="REJECTS"),"OUTSIDE / EXCOMMUNICABLE",IF(AND(OR(F145="RETAINS",F145="RETAINS WITH QUALIFICATION"),OR(G145="RETAINS",G145="RETAINS WITH QUALIFICATION")),"INTERNAL GORGONWARS",IF(AND(F145="NOT APPLICABLE",G145="NOT APPLICABLE"),"NOT APPLICABLE","PREMISES UNRESOLVED"))))</x:f>
        <x:v>PREMISES UNRESOLVED</x:v>
      </x:c>
      <x:c r="I145" s="82" t="str">
        <x:f>IF(A145="","",IF(E145=H145,"OK",IF(AO145&lt;&gt;"","OVERRIDDEN","REVIEW")))</x:f>
        <x:v>OK</x:v>
      </x:c>
      <x:c r="J145" s="73" t="str">
        <x:v>Literary and dialogical analysis of conflict between domination feminism and sex-positive agency feminism</x:v>
      </x:c>
      <x:c r="K145" s="73" t="str">
        <x:v>Movement-adjacent</x:v>
      </x:c>
      <x:c r="L145" s="73" t="str">
        <x:v>Peer-reviewed journal article</x:v>
      </x:c>
      <x:c r="M145" s="73" t="str">
        <x:v>Peer-reviewed</x:v>
      </x:c>
      <x:c r="N145" s="89" t="n">
        <x:v>2022</x:v>
      </x:c>
      <x:c r="O145" s="73" t="str">
        <x:v>Natalie Roxburgh</x:v>
      </x:c>
      <x:c r="P145" s="73" t="str">
        <x:v>The collapse of dialogue, consent, and the controversy over Kristen Roupenian's “Cat Person”</x:v>
      </x:c>
      <x:c r="Q145" s="73" t="str">
        <x:v>Language &amp; Dialogue 12(1):54–71</x:v>
      </x:c>
      <x:c r="R145" s="73" t="str">
        <x:v>English</x:v>
      </x:c>
      <x:c r="S145" s="73" t="str">
        <x:v>The #MeToo-era consent debate fails because structural-domination feminism and sex-positive agency feminism talk past one another, while platform media rewards polarization instead of dialogue.</x:v>
      </x:c>
      <x:c r="T145" s="73" t="str">
        <x:v>A Bakhtinian literary analysis of Cat Person reception; the abstract identifies the opposed discourses but does not commit the author to either foundational premise.</x:v>
      </x:c>
      <x:c r="U145" s="73" t="str">
        <x:v>Abstract only</x:v>
      </x:c>
      <x:c r="V145" s="73" t="str">
        <x:v>https://benjamins.com/catalog/ld.00111.rox</x:v>
      </x:c>
      <x:c r="W145" s="73" t="str">
        <x:v>10.1075/ld.00111.rox</x:v>
      </x:c>
      <x:c r="X145" s="93" t="n">
        <x:v>46230</x:v>
      </x:c>
      <x:c r="Y145" s="93" t="n">
        <x:v>46230</x:v>
      </x:c>
      <x:c r="Z145" s="73" t="str">
        <x:v>Describing two feminist discourses is not evidence that the author adopts either premise.</x:v>
      </x:c>
      <x:c r="AA145" s="73" t="str"/>
      <x:c r="AB145" s="73" t="n">
        <x:v>140</x:v>
      </x:c>
      <x:c r="AC145" s="73" t="str">
        <x:v>ADJACENT CONTEXT</x:v>
      </x:c>
      <x:c r="AD145" s="73" t="str">
        <x:v>UNCLEAR</x:v>
      </x:c>
      <x:c r="AE145" s="73" t="str">
        <x:v>YES</x:v>
      </x:c>
      <x:c r="AF145" s="73" t="str">
        <x:v>Failed dialogue between domination and sex-positive feminist discourses in the #MeToo-era media landscape</x:v>
      </x:c>
      <x:c r="AG145" s="73" t="str">
        <x:v>NO EVIDENCE</x:v>
      </x:c>
      <x:c r="AH145" s="73" t="str"/>
      <x:c r="AI145" s="73" t="str"/>
      <x:c r="AJ145" s="73" t="str"/>
      <x:c r="AK145" s="73" t="str">
        <x:v>NO EVIDENCE</x:v>
      </x:c>
      <x:c r="AL145" s="73" t="str"/>
      <x:c r="AM145" s="73" t="str"/>
      <x:c r="AN145" s="73" t="str"/>
      <x:c r="AO145" s="73" t="str"/>
      <x:c r="AP145" s="73" t="str">
        <x:v>Multilingual expansion research</x:v>
      </x:c>
      <x:c r="AQ145" s="73" t="str">
        <x:v>GORGONWARS-PREMISE-1.0</x:v>
      </x:c>
      <x:c r="AR145" s="73" t="str"/>
      <x:c r="AS145" s="82" t="str">
        <x:f>IF(A145="","",IF(OR(E145="NOT APPLICABLE",E145="PREMISES UNRESOLVED"),"N/A",IF(OR(AND(F145&lt;&gt;"NO EVIDENCE",F145&lt;&gt;"NOT APPLICABLE",OR(AG145="",AH145="",AI145="",AJ145="",AG145="SYSTEM INFERENCE",AG145="ABSTRACT ONLY",AG145="SECONDARY REPORT",AG145="UNVERIFIED",AI145="Exact locator needed",AI145="HAU forum framing; exact target locator needed",AI145="Forum exchange; exact locator needed")),AND(G145&lt;&gt;"NO EVIDENCE",G145&lt;&gt;"NOT APPLICABLE",OR(AK145="",AL145="",AM145="",AN145="",AK145="SYSTEM INFERENCE",AK145="ABSTRACT ONLY",AK145="SECONDARY REPORT",AK145="UNVERIFIED",AM145="Exact locator needed",AM145="HAU forum framing; exact target locator needed",AM145="Forum exchange; exact locator needed"))),"EVIDENCE DEBT","READY")))</x:f>
        <x:v>N/A</x:v>
      </x:c>
      <x:c r="AT145" s="74" t="str">
        <x:v>Added in multilingual sexual-freedom expansion.</x:v>
      </x:c>
    </x:row>
    <x:row r="146" ht="50" customHeight="1">
      <x:c r="A146" s="86" t="n">
        <x:v>141</x:v>
      </x:c>
      <x:c r="B146" s="76" t="str">
        <x:v>Needs full text</x:v>
      </x:c>
      <x:c r="C146" s="90" t="n">
        <x:v>5</x:v>
      </x:c>
      <x:c r="D146" s="82" t="str">
        <x:f>IF(C146="","",IFERROR(VLOOKUP(C146,'Database controls'!$A$5:$B$20,2,FALSE),"NEW / UNCATEGORIZED"))</x:f>
        <x:v>Desire, agency, and sexual ambiguity</x:v>
      </x:c>
      <x:c r="E146" s="76" t="str">
        <x:v>PREMISES UNRESOLVED</x:v>
      </x:c>
      <x:c r="F146" s="76" t="str">
        <x:v>NO EVIDENCE</x:v>
      </x:c>
      <x:c r="G146" s="76" t="str">
        <x:v>NO EVIDENCE</x:v>
      </x:c>
      <x:c r="H146" s="82" t="str">
        <x:f>IF(A146="","",IF(OR(F146="REJECTS",G146="REJECTS"),"OUTSIDE / EXCOMMUNICABLE",IF(AND(OR(F146="RETAINS",F146="RETAINS WITH QUALIFICATION"),OR(G146="RETAINS",G146="RETAINS WITH QUALIFICATION")),"INTERNAL GORGONWARS",IF(AND(F146="NOT APPLICABLE",G146="NOT APPLICABLE"),"NOT APPLICABLE","PREMISES UNRESOLVED"))))</x:f>
        <x:v>PREMISES UNRESOLVED</x:v>
      </x:c>
      <x:c r="I146" s="82" t="str">
        <x:f>IF(A146="","",IF(E146=H146,"OK",IF(AO146&lt;&gt;"","OVERRIDDEN","REVIEW")))</x:f>
        <x:v>OK</x:v>
      </x:c>
      <x:c r="J146" s="76" t="str">
        <x:v>Reception analysis of an anti-#MeToo theatrical critique from a feminist-spectator perspective</x:v>
      </x:c>
      <x:c r="K146" s="76" t="str">
        <x:v>Reception only</x:v>
      </x:c>
      <x:c r="L146" s="76" t="str">
        <x:v>Peer-reviewed journal article</x:v>
      </x:c>
      <x:c r="M146" s="76" t="str">
        <x:v>Peer-reviewed</x:v>
      </x:c>
      <x:c r="N146" s="90" t="n">
        <x:v>2021</x:v>
      </x:c>
      <x:c r="O146" s="76" t="str">
        <x:v>Cristina Oñoro Otero</x:v>
      </x:c>
      <x:c r="P146" s="76" t="str">
        <x:v>Puritanismo, mirada masculina y espectadoras: The Scarlet Letter (2018), de Angélica Liddell</x:v>
      </x:c>
      <x:c r="Q146" s="76" t="str">
        <x:v>Tropelías. Revista de Teoría de la Literatura y Literatura Comparada 35</x:v>
      </x:c>
      <x:c r="R146" s="76" t="str">
        <x:v>Spanish</x:v>
      </x:c>
      <x:c r="S146" s="76" t="str">
        <x:v>An anti-#MeToo artwork can be misogynistic in what it says yet feminist in how it breaks the male gaze, forcing spectators to hold sexual freedom and feminist critique together.</x:v>
      </x:c>
      <x:c r="T146" s="76" t="str">
        <x:v>The author analyzes Liddell's critique and a feminist spectator's paradoxical response without clearly adopting the play's anti-#MeToo premise claims.</x:v>
      </x:c>
      <x:c r="U146" s="76" t="str">
        <x:v>Abstract only</x:v>
      </x:c>
      <x:c r="V146" s="76" t="str">
        <x:v>https://papiro.unizar.es/ojs/index.php/tropelias/es/article/view/5116</x:v>
      </x:c>
      <x:c r="W146" s="76" t="str">
        <x:v>10.26754/ojs_tropelias/tropelias.2021355116</x:v>
      </x:c>
      <x:c r="X146" s="94" t="n">
        <x:v>46230</x:v>
      </x:c>
      <x:c r="Y146" s="94" t="n">
        <x:v>46230</x:v>
      </x:c>
      <x:c r="Z146" s="76" t="str">
        <x:v>Reception evidence must not be converted into the researcher's authorial premise position.</x:v>
      </x:c>
      <x:c r="AA146" s="76" t="str"/>
      <x:c r="AB146" s="76" t="n">
        <x:v>141</x:v>
      </x:c>
      <x:c r="AC146" s="76" t="str">
        <x:v>RECEPTION REPORT</x:v>
      </x:c>
      <x:c r="AD146" s="76" t="str">
        <x:v>REPORTS OTHERS' CRITICISM</x:v>
      </x:c>
      <x:c r="AE146" s="76" t="str">
        <x:v>YES</x:v>
      </x:c>
      <x:c r="AF146" s="76" t="str">
        <x:v>Reception of Angélica Liddell's theatrical attack on women and #MeToo puritanism</x:v>
      </x:c>
      <x:c r="AG146" s="76" t="str">
        <x:v>NO EVIDENCE</x:v>
      </x:c>
      <x:c r="AH146" s="76" t="str"/>
      <x:c r="AI146" s="76" t="str"/>
      <x:c r="AJ146" s="76" t="str"/>
      <x:c r="AK146" s="76" t="str">
        <x:v>NO EVIDENCE</x:v>
      </x:c>
      <x:c r="AL146" s="76" t="str"/>
      <x:c r="AM146" s="76" t="str"/>
      <x:c r="AN146" s="76" t="str"/>
      <x:c r="AO146" s="76" t="str"/>
      <x:c r="AP146" s="76" t="str">
        <x:v>Multilingual expansion research</x:v>
      </x:c>
      <x:c r="AQ146" s="76" t="str">
        <x:v>GORGONWARS-PREMISE-1.0</x:v>
      </x:c>
      <x:c r="AR146" s="76" t="str"/>
      <x:c r="AS146" s="82" t="str">
        <x:f>IF(A146="","",IF(OR(E146="NOT APPLICABLE",E146="PREMISES UNRESOLVED"),"N/A",IF(OR(AND(F146&lt;&gt;"NO EVIDENCE",F146&lt;&gt;"NOT APPLICABLE",OR(AG146="",AH146="",AI146="",AJ146="",AG146="SYSTEM INFERENCE",AG146="ABSTRACT ONLY",AG146="SECONDARY REPORT",AG146="UNVERIFIED",AI146="Exact locator needed",AI146="HAU forum framing; exact target locator needed",AI146="Forum exchange; exact locator needed")),AND(G146&lt;&gt;"NO EVIDENCE",G146&lt;&gt;"NOT APPLICABLE",OR(AK146="",AL146="",AM146="",AN146="",AK146="SYSTEM INFERENCE",AK146="ABSTRACT ONLY",AK146="SECONDARY REPORT",AK146="UNVERIFIED",AM146="Exact locator needed",AM146="HAU forum framing; exact target locator needed",AM146="Forum exchange; exact locator needed"))),"EVIDENCE DEBT","READY")))</x:f>
        <x:v>N/A</x:v>
      </x:c>
      <x:c r="AT146" s="77" t="str">
        <x:v>Added in multilingual sexual-freedom expansion.</x:v>
      </x:c>
    </x:row>
    <x:row r="147" ht="50" customHeight="1">
      <x:c r="A147" s="85" t="n">
        <x:v>142</x:v>
      </x:c>
      <x:c r="B147" s="73" t="str">
        <x:v>Needs full text</x:v>
      </x:c>
      <x:c r="C147" s="89" t="n">
        <x:v>3</x:v>
      </x:c>
      <x:c r="D147" s="82" t="str">
        <x:f>IF(C147="","",IFERROR(VLOOKUP(C147,'Database controls'!$A$5:$B$20,2,FALSE),"NEW / UNCATEGORIZED"))</x:f>
        <x:v>PIP-retaining public/private reconstruction and internal control</x:v>
      </x:c>
      <x:c r="E147" s="73" t="str">
        <x:v>INTERNAL GORGONWARS</x:v>
      </x:c>
      <x:c r="F147" s="73" t="str">
        <x:v>RETAINS</x:v>
      </x:c>
      <x:c r="G147" s="73" t="str">
        <x:v>RETAINS</x:v>
      </x:c>
      <x:c r="H147" s="82" t="str">
        <x:f>IF(A147="","",IF(OR(F147="REJECTS",G147="REJECTS"),"OUTSIDE / EXCOMMUNICABLE",IF(AND(OR(F147="RETAINS",F147="RETAINS WITH QUALIFICATION"),OR(G147="RETAINS",G147="RETAINS WITH QUALIFICATION")),"INTERNAL GORGONWARS",IF(AND(F147="NOT APPLICABLE",G147="NOT APPLICABLE"),"NOT APPLICABLE","PREMISES UNRESOLVED"))))</x:f>
        <x:v>INTERNAL GORGONWARS</x:v>
      </x:c>
      <x:c r="I147" s="82" t="str">
        <x:f>IF(A147="","",IF(E147=H147,"OK",IF(AO147&lt;&gt;"","OVERRIDDEN","REVIEW")))</x:f>
        <x:v>OK</x:v>
      </x:c>
      <x:c r="J147" s="73" t="str">
        <x:v>Internal expansion critique arguing that #MeToo needs deeper feminist theory, organization, and cross-movement alliances</x:v>
      </x:c>
      <x:c r="K147" s="73" t="str">
        <x:v>Direct #MeToo defense / internal reply</x:v>
      </x:c>
      <x:c r="L147" s="73" t="str">
        <x:v>Academic forum / editorial</x:v>
      </x:c>
      <x:c r="M147" s="73" t="str">
        <x:v>Academic forum / editorial</x:v>
      </x:c>
      <x:c r="N147" s="89" t="n">
        <x:v>2018</x:v>
      </x:c>
      <x:c r="O147" s="73" t="str">
        <x:v>Micaela di Leonardo</x:v>
      </x:c>
      <x:c r="P147" s="73" t="str">
        <x:v>#MeToo is nowhere near enough</x:v>
      </x:c>
      <x:c r="Q147" s="73" t="str">
        <x:v>HAU: Journal of Ethnographic Theory 8(3):420–425</x:v>
      </x:c>
      <x:c r="R147" s="73" t="str">
        <x:v>English</x:v>
      </x:c>
      <x:c r="S147" s="73" t="str">
        <x:v>#MeToo is a promising beginning, but isolated stories need deeper feminist theory, organization, and alliances with race, class, queer, and other justice struggles to change institutions.</x:v>
      </x:c>
      <x:c r="T147" s="73" t="str">
        <x:v>The premise classification relies on Pipyrou's detailed peer-reviewed forum précis because the target comment was paywalled; exact primary-text locators remain an evidence debt.</x:v>
      </x:c>
      <x:c r="U147" s="73" t="str">
        <x:v>Secondary verification</x:v>
      </x:c>
      <x:c r="V147" s="73" t="str">
        <x:v>https://www.journals.uchicago.edu/doi/full/10.1086/701005</x:v>
      </x:c>
      <x:c r="W147" s="73" t="str">
        <x:v>10.1086/701005</x:v>
      </x:c>
      <x:c r="X147" s="93" t="n">
        <x:v>46230</x:v>
      </x:c>
      <x:c r="Y147" s="93" t="n">
        <x:v>46230</x:v>
      </x:c>
      <x:c r="Z147" s="73" t="str">
        <x:v>Primary article metadata and DOI are verified; premise evidence is currently secondary.</x:v>
      </x:c>
      <x:c r="AA147" s="73" t="str"/>
      <x:c r="AB147" s="73" t="n">
        <x:v>142</x:v>
      </x:c>
      <x:c r="AC147" s="73" t="str">
        <x:v>DEFENSE / INTERNAL REPLY</x:v>
      </x:c>
      <x:c r="AD147" s="73" t="str">
        <x:v>DEFENSE</x:v>
      </x:c>
      <x:c r="AE147" s="73" t="str">
        <x:v>YES</x:v>
      </x:c>
      <x:c r="AF147" s="73" t="str">
        <x:v>#MeToo's insufficient theory, organization, institutional reach, and connection to longer justice movements</x:v>
      </x:c>
      <x:c r="AG147" s="73" t="str">
        <x:v>SECONDARY REPORT</x:v>
      </x:c>
      <x:c r="AH147" s="73" t="str">
        <x:v>Pipyrou summarizes di Leonardo as saying #MeToo is categorically not mob rule, should go further, and should turn women's public stories into organized structural change.</x:v>
      </x:c>
      <x:c r="AI147" s="73" t="str">
        <x:v>Pipyrou forum introduction, pp. 418–419</x:v>
      </x:c>
      <x:c r="AJ147" s="73" t="str">
        <x:v>https://www.journals.uchicago.edu/doi/full/10.1086/701007</x:v>
      </x:c>
      <x:c r="AK147" s="73" t="str">
        <x:v>SECONDARY REPORT</x:v>
      </x:c>
      <x:c r="AL147" s="73" t="str">
        <x:v>Pipyrou reports that di Leonardo foregrounds women's stories and situates them within 1970s feminism and linked race, class, queer, and other justice movements.</x:v>
      </x:c>
      <x:c r="AM147" s="73" t="str">
        <x:v>Pipyrou forum introduction, pp. 418–419</x:v>
      </x:c>
      <x:c r="AN147" s="73" t="str">
        <x:v>https://www.journals.uchicago.edu/doi/full/10.1086/701007</x:v>
      </x:c>
      <x:c r="AO147" s="73" t="str"/>
      <x:c r="AP147" s="73" t="str">
        <x:v>Multilingual expansion research</x:v>
      </x:c>
      <x:c r="AQ147" s="73" t="str">
        <x:v>GORGONWARS-PREMISE-1.0</x:v>
      </x:c>
      <x:c r="AR147" s="73" t="str"/>
      <x:c r="AS147" s="82" t="str">
        <x:f>IF(A147="","",IF(OR(E147="NOT APPLICABLE",E147="PREMISES UNRESOLVED"),"N/A",IF(OR(AND(F147&lt;&gt;"NO EVIDENCE",F147&lt;&gt;"NOT APPLICABLE",OR(AG147="",AH147="",AI147="",AJ147="",AG147="SYSTEM INFERENCE",AG147="ABSTRACT ONLY",AG147="SECONDARY REPORT",AG147="UNVERIFIED",AI147="Exact locator needed",AI147="HAU forum framing; exact target locator needed",AI147="Forum exchange; exact locator needed")),AND(G147&lt;&gt;"NO EVIDENCE",G147&lt;&gt;"NOT APPLICABLE",OR(AK147="",AL147="",AM147="",AN147="",AK147="SYSTEM INFERENCE",AK147="ABSTRACT ONLY",AK147="SECONDARY REPORT",AK147="UNVERIFIED",AM147="Exact locator needed",AM147="HAU forum framing; exact target locator needed",AM147="Forum exchange; exact locator needed"))),"EVIDENCE DEBT","READY")))</x:f>
        <x:v>EVIDENCE DEBT</x:v>
      </x:c>
      <x:c r="AT147" s="74" t="str">
        <x:v>Added in multilingual sexual-freedom expansion.</x:v>
      </x:c>
    </x:row>
    <x:row r="148" ht="50" customHeight="1">
      <x:c r="A148" s="86" t="n">
        <x:v>143</x:v>
      </x:c>
      <x:c r="B148" s="76" t="str">
        <x:v>Needs full text</x:v>
      </x:c>
      <x:c r="C148" s="90" t="n">
        <x:v>3</x:v>
      </x:c>
      <x:c r="D148" s="82" t="str">
        <x:f>IF(C148="","",IFERROR(VLOOKUP(C148,'Database controls'!$A$5:$B$20,2,FALSE),"NEW / UNCATEGORIZED"))</x:f>
        <x:v>PIP-retaining public/private reconstruction and internal control</x:v>
      </x:c>
      <x:c r="E148" s="76" t="str">
        <x:v>PREMISES UNRESOLVED</x:v>
      </x:c>
      <x:c r="F148" s="76" t="str">
        <x:v>RETAINS</x:v>
      </x:c>
      <x:c r="G148" s="76" t="str">
        <x:v>NO EVIDENCE</x:v>
      </x:c>
      <x:c r="H148" s="82" t="str">
        <x:f>IF(A148="","",IF(OR(F148="REJECTS",G148="REJECTS"),"OUTSIDE / EXCOMMUNICABLE",IF(AND(OR(F148="RETAINS",F148="RETAINS WITH QUALIFICATION"),OR(G148="RETAINS",G148="RETAINS WITH QUALIFICATION")),"INTERNAL GORGONWARS",IF(AND(F148="NOT APPLICABLE",G148="NOT APPLICABLE"),"NOT APPLICABLE","PREMISES UNRESOLVED"))))</x:f>
        <x:v>PREMISES UNRESOLVED</x:v>
      </x:c>
      <x:c r="I148" s="82" t="str">
        <x:f>IF(A148="","",IF(E148=H148,"OK",IF(AO148&lt;&gt;"","OVERRIDDEN","REVIEW")))</x:f>
        <x:v>OK</x:v>
      </x:c>
      <x:c r="J148" s="76" t="str">
        <x:v>Internal or unresolved critique of essentialized enemies, hashtag efficacy, and disconnection from durable justice movements</x:v>
      </x:c>
      <x:c r="K148" s="76" t="str">
        <x:v>Direct #MeToo defense / internal reply</x:v>
      </x:c>
      <x:c r="L148" s="76" t="str">
        <x:v>Academic forum / editorial</x:v>
      </x:c>
      <x:c r="M148" s="76" t="str">
        <x:v>Academic forum / editorial</x:v>
      </x:c>
      <x:c r="N148" s="90" t="n">
        <x:v>2018</x:v>
      </x:c>
      <x:c r="O148" s="76" t="str">
        <x:v>Brackette F. Williams and Drexel G. Woodson</x:v>
      </x:c>
      <x:c r="P148" s="76" t="str">
        <x:v>Slinging hash: Can activists and scholars play “rough music” on a one-string violin?</x:v>
      </x:c>
      <x:c r="Q148" s="76" t="str">
        <x:v>HAU: Journal of Ethnographic Theory 8(3):426–430</x:v>
      </x:c>
      <x:c r="R148" s="76" t="str">
        <x:v>English</x:v>
      </x:c>
      <x:c r="S148" s="76" t="str">
        <x:v>A righteous hashtag can still essentialize enemies and divert energy from durable movements; #MeToo must connect indignation to institutions and older justice struggles.</x:v>
      </x:c>
      <x:c r="T148" s="76" t="str">
        <x:v>The target comment was paywalled and its available editor's précis proves retention of collective politics but does not establish a standpoint position.</x:v>
      </x:c>
      <x:c r="U148" s="76" t="str">
        <x:v>Secondary verification</x:v>
      </x:c>
      <x:c r="V148" s="76" t="str">
        <x:v>https://doi.org/10.1086/701006</x:v>
      </x:c>
      <x:c r="W148" s="76" t="str">
        <x:v>10.1086/701006</x:v>
      </x:c>
      <x:c r="X148" s="94" t="n">
        <x:v>46230</x:v>
      </x:c>
      <x:c r="Y148" s="94" t="n">
        <x:v>46230</x:v>
      </x:c>
      <x:c r="Z148" s="76" t="str">
        <x:v>Criticism of essentialized enemies is not by itself rejection or retention of standpoint epistemology.</x:v>
      </x:c>
      <x:c r="AA148" s="76" t="str"/>
      <x:c r="AB148" s="76" t="n">
        <x:v>143</x:v>
      </x:c>
      <x:c r="AC148" s="76" t="str">
        <x:v>INTERNAL IMMANENT CRITIQUE</x:v>
      </x:c>
      <x:c r="AD148" s="76" t="str">
        <x:v>MIXED / QUALIFIED CRITIQUE</x:v>
      </x:c>
      <x:c r="AE148" s="76" t="str">
        <x:v>YES</x:v>
      </x:c>
      <x:c r="AF148" s="76" t="str">
        <x:v>Essentialized Ultra-Others, hashtag efficacy, movement durability, and disconnection from established justice struggles</x:v>
      </x:c>
      <x:c r="AG148" s="76" t="str">
        <x:v>SECONDARY REPORT</x:v>
      </x:c>
      <x:c r="AH148" s="76" t="str">
        <x:v>Pipyrou reports that Williams and Woodson retain collective justice politics while doubting whether a hashtag can translate righteous indignation into durable institutional change.</x:v>
      </x:c>
      <x:c r="AI148" s="76" t="str">
        <x:v>Pipyrou forum introduction, pp. 418–419</x:v>
      </x:c>
      <x:c r="AJ148" s="76" t="str">
        <x:v>https://www.journals.uchicago.edu/doi/full/10.1086/701007</x:v>
      </x:c>
      <x:c r="AK148" s="76" t="str">
        <x:v>NO EVIDENCE</x:v>
      </x:c>
      <x:c r="AL148" s="76" t="str"/>
      <x:c r="AM148" s="76" t="str"/>
      <x:c r="AN148" s="76" t="str"/>
      <x:c r="AO148" s="76" t="str"/>
      <x:c r="AP148" s="76" t="str">
        <x:v>Multilingual expansion research</x:v>
      </x:c>
      <x:c r="AQ148" s="76" t="str">
        <x:v>GORGONWARS-PREMISE-1.0</x:v>
      </x:c>
      <x:c r="AR148" s="76" t="str"/>
      <x:c r="AS148" s="82" t="str">
        <x:f>IF(A148="","",IF(OR(E148="NOT APPLICABLE",E148="PREMISES UNRESOLVED"),"N/A",IF(OR(AND(F148&lt;&gt;"NO EVIDENCE",F148&lt;&gt;"NOT APPLICABLE",OR(AG148="",AH148="",AI148="",AJ148="",AG148="SYSTEM INFERENCE",AG148="ABSTRACT ONLY",AG148="SECONDARY REPORT",AG148="UNVERIFIED",AI148="Exact locator needed",AI148="HAU forum framing; exact target locator needed",AI148="Forum exchange; exact locator needed")),AND(G148&lt;&gt;"NO EVIDENCE",G148&lt;&gt;"NOT APPLICABLE",OR(AK148="",AL148="",AM148="",AN148="",AK148="SYSTEM INFERENCE",AK148="ABSTRACT ONLY",AK148="SECONDARY REPORT",AK148="UNVERIFIED",AM148="Exact locator needed",AM148="HAU forum framing; exact target locator needed",AM148="Forum exchange; exact locator needed"))),"EVIDENCE DEBT","READY")))</x:f>
        <x:v>N/A</x:v>
      </x:c>
      <x:c r="AT148" s="77" t="str">
        <x:v>Added in multilingual sexual-freedom expansion.</x:v>
      </x:c>
    </x:row>
    <x:row r="149" ht="50" customHeight="1">
      <x:c r="A149" s="85" t="n">
        <x:v>144</x:v>
      </x:c>
      <x:c r="B149" s="73" t="str">
        <x:v>Needs full text</x:v>
      </x:c>
      <x:c r="C149" s="89" t="n">
        <x:v>6</x:v>
      </x:c>
      <x:c r="D149" s="82" t="str">
        <x:f>IF(C149="","",IFERROR(VLOOKUP(C149,'Database controls'!$A$5:$B$20,2,FALSE),"NEW / UNCATEGORIZED"))</x:f>
        <x:v>Due process, punishment, and procedural limits</x:v>
      </x:c>
      <x:c r="E149" s="73" t="str">
        <x:v>PREMISES UNRESOLVED</x:v>
      </x:c>
      <x:c r="F149" s="73" t="str">
        <x:v>NO EVIDENCE</x:v>
      </x:c>
      <x:c r="G149" s="73" t="str">
        <x:v>NO EVIDENCE</x:v>
      </x:c>
      <x:c r="H149" s="82" t="str">
        <x:f>IF(A149="","",IF(OR(F149="REJECTS",G149="REJECTS"),"OUTSIDE / EXCOMMUNICABLE",IF(AND(OR(F149="RETAINS",F149="RETAINS WITH QUALIFICATION"),OR(G149="RETAINS",G149="RETAINS WITH QUALIFICATION")),"INTERNAL GORGONWARS",IF(AND(F149="NOT APPLICABLE",G149="NOT APPLICABLE"),"NOT APPLICABLE","PREMISES UNRESOLVED"))))</x:f>
        <x:v>PREMISES UNRESOLVED</x:v>
      </x:c>
      <x:c r="I149" s="82" t="str">
        <x:f>IF(A149="","",IF(E149=H149,"OK",IF(AO149&lt;&gt;"","OVERRIDDEN","REVIEW")))</x:f>
        <x:v>OK</x:v>
      </x:c>
      <x:c r="J149" s="73" t="str">
        <x:v>Academic legal map of liberated speech, media accusation, presumption of innocence, and criminal adjudication</x:v>
      </x:c>
      <x:c r="K149" s="73" t="str">
        <x:v>Direct #MeToo critique</x:v>
      </x:c>
      <x:c r="L149" s="73" t="str">
        <x:v>Law review article</x:v>
      </x:c>
      <x:c r="M149" s="73" t="str">
        <x:v>Law review / editorial review</x:v>
      </x:c>
      <x:c r="N149" s="89" t="n">
        <x:v>2024</x:v>
      </x:c>
      <x:c r="O149" s="73" t="str">
        <x:v>Pauline Le Monnier de Gouville</x:v>
      </x:c>
      <x:c r="P149" s="73" t="str">
        <x:v>Libération de la parole et justice pénale</x:v>
      </x:c>
      <x:c r="Q149" s="73" t="str">
        <x:v>Archives de politique criminelle 46(1):263–278</x:v>
      </x:c>
      <x:c r="R149" s="73" t="str">
        <x:v>French</x:v>
      </x:c>
      <x:c r="S149" s="73" t="str">
        <x:v>Liberated speech and criminal justice answer different needs, so law must protect victims' ability to speak without allowing media accusation to decide legal guilt.</x:v>
      </x:c>
      <x:c r="T149" s="73" t="str">
        <x:v>Cairn exposed metadata and notes but not the article body; the thesis is a cautious synthesis of the article's documented problem field, not proof that the author endorses every cited warning.</x:v>
      </x:c>
      <x:c r="U149" s="73" t="str">
        <x:v>Partial / target-text gap</x:v>
      </x:c>
      <x:c r="V149" s="73" t="str">
        <x:v>https://droit.cairn.info/revue-archives-de-politique-criminelle-2024-1-page-263?lang=fr</x:v>
      </x:c>
      <x:c r="W149" s="73" t="str">
        <x:v>10.3917/apc.046.0263</x:v>
      </x:c>
      <x:c r="X149" s="93" t="n">
        <x:v>46230</x:v>
      </x:c>
      <x:c r="Y149" s="93" t="n">
        <x:v>46230</x:v>
      </x:c>
      <x:c r="Z149" s="73" t="str">
        <x:v>Relevant notes are concentrated around pp. 270ff and notes 62–80, which map tribunal médiatique, name-and-shame, fair trial, sole-victim listening, and positive liberation of speech.</x:v>
      </x:c>
      <x:c r="AA149" s="73" t="str"/>
      <x:c r="AB149" s="73" t="n">
        <x:v>144</x:v>
      </x:c>
      <x:c r="AC149" s="73" t="str">
        <x:v>ADJACENT CONTEXT</x:v>
      </x:c>
      <x:c r="AD149" s="73" t="str">
        <x:v>UNCLEAR</x:v>
      </x:c>
      <x:c r="AE149" s="73" t="str">
        <x:v>YES</x:v>
      </x:c>
      <x:c r="AF149" s="73" t="str">
        <x:v>The relation among #MeToo speech, media accusation, presumption of innocence, fair trial, and criminal adjudication</x:v>
      </x:c>
      <x:c r="AG149" s="73" t="str">
        <x:v>NO EVIDENCE</x:v>
      </x:c>
      <x:c r="AH149" s="73" t="str"/>
      <x:c r="AI149" s="73" t="str"/>
      <x:c r="AJ149" s="73" t="str"/>
      <x:c r="AK149" s="73" t="str">
        <x:v>NO EVIDENCE</x:v>
      </x:c>
      <x:c r="AL149" s="73" t="str"/>
      <x:c r="AM149" s="73" t="str"/>
      <x:c r="AN149" s="73" t="str"/>
      <x:c r="AO149" s="73" t="str"/>
      <x:c r="AP149" s="73" t="str">
        <x:v>Multilingual expansion research</x:v>
      </x:c>
      <x:c r="AQ149" s="73" t="str">
        <x:v>GORGONWARS-PREMISE-1.0</x:v>
      </x:c>
      <x:c r="AR149" s="73" t="str"/>
      <x:c r="AS149" s="82" t="str">
        <x:f>IF(A149="","",IF(OR(E149="NOT APPLICABLE",E149="PREMISES UNRESOLVED"),"N/A",IF(OR(AND(F149&lt;&gt;"NO EVIDENCE",F149&lt;&gt;"NOT APPLICABLE",OR(AG149="",AH149="",AI149="",AJ149="",AG149="SYSTEM INFERENCE",AG149="ABSTRACT ONLY",AG149="SECONDARY REPORT",AG149="UNVERIFIED",AI149="Exact locator needed",AI149="HAU forum framing; exact target locator needed",AI149="Forum exchange; exact locator needed")),AND(G149&lt;&gt;"NO EVIDENCE",G149&lt;&gt;"NOT APPLICABLE",OR(AK149="",AL149="",AM149="",AN149="",AK149="SYSTEM INFERENCE",AK149="ABSTRACT ONLY",AK149="SECONDARY REPORT",AK149="UNVERIFIED",AM149="Exact locator needed",AM149="HAU forum framing; exact target locator needed",AM149="Forum exchange; exact locator needed"))),"EVIDENCE DEBT","READY")))</x:f>
        <x:v>N/A</x:v>
      </x:c>
      <x:c r="AT149" s="74" t="str">
        <x:v>Added in multilingual sexual-freedom expansion.</x:v>
      </x:c>
    </x:row>
    <x:row r="150" ht="50" customHeight="1">
      <x:c r="A150" s="86" t="n">
        <x:v>145</x:v>
      </x:c>
      <x:c r="B150" s="76" t="str">
        <x:v>Active</x:v>
      </x:c>
      <x:c r="C150" s="90" t="n">
        <x:v>4</x:v>
      </x:c>
      <x:c r="D150" s="82" t="str">
        <x:f>IF(C150="","",IFERROR(VLOOKUP(C150,'Database controls'!$A$5:$B$20,2,FALSE),"NEW / UNCATEGORIZED"))</x:f>
        <x:v>Testimony, belief, and epistemic authority</x:v>
      </x:c>
      <x:c r="E150" s="76" t="str">
        <x:v>INTERNAL GORGONWARS</x:v>
      </x:c>
      <x:c r="F150" s="76" t="str">
        <x:v>RETAINS</x:v>
      </x:c>
      <x:c r="G150" s="76" t="str">
        <x:v>RETAINS WITH QUALIFICATION</x:v>
      </x:c>
      <x:c r="H150" s="82" t="str">
        <x:f>IF(A150="","",IF(OR(F150="REJECTS",G150="REJECTS"),"OUTSIDE / EXCOMMUNICABLE",IF(AND(OR(F150="RETAINS",F150="RETAINS WITH QUALIFICATION"),OR(G150="RETAINS",G150="RETAINS WITH QUALIFICATION")),"INTERNAL GORGONWARS",IF(AND(F150="NOT APPLICABLE",G150="NOT APPLICABLE"),"NOT APPLICABLE","PREMISES UNRESOLVED"))))</x:f>
        <x:v>INTERNAL GORGONWARS</x:v>
      </x:c>
      <x:c r="I150" s="82" t="str">
        <x:f>IF(A150="","",IF(E150=H150,"OK",IF(AO150&lt;&gt;"","OVERRIDDEN","REVIEW")))</x:f>
        <x:v>OK</x:v>
      </x:c>
      <x:c r="J150" s="76" t="str">
        <x:v>Internal critique of experience as political capital</x:v>
      </x:c>
      <x:c r="K150" s="76" t="str">
        <x:v>Foundational antecedent</x:v>
      </x:c>
      <x:c r="L150" s="76" t="str">
        <x:v>Peer-reviewed journal article</x:v>
      </x:c>
      <x:c r="M150" s="76" t="str">
        <x:v>Peer-reviewed</x:v>
      </x:c>
      <x:c r="N150" s="90" t="n">
        <x:v>2016</x:v>
      </x:c>
      <x:c r="O150" s="76" t="str">
        <x:v>Alison Phipps</x:v>
      </x:c>
      <x:c r="P150" s="76" t="str">
        <x:v>Whose personal is more political? Experience in contemporary feminist politics</x:v>
      </x:c>
      <x:c r="Q150" s="76" t="str">
        <x:v>Feminist Theory 17(3)</x:v>
      </x:c>
      <x:c r="R150" s="76" t="str">
        <x:v>English</x:v>
      </x:c>
      <x:c r="S150" s="76" t="str">
        <x:v>Personal testimony can become political capital that privileged feminists use to generate emotion, authorize agendas, and silence critics, so experience must be situated rather than treated as self-validating.</x:v>
      </x:c>
      <x:c r="T150" s="76" t="str">
        <x:v>This is a strong critique of commodified and decontextualized experience, but it retains personal-to-political feminism and gives marginal social position corrective weight; it is therefore internal under the fixed two-premise rule.</x:v>
      </x:c>
      <x:c r="U150" s="76" t="str">
        <x:v>Abstract only</x:v>
      </x:c>
      <x:c r="V150" s="76" t="str">
        <x:v>https://doi.org/10.1177/1464700116663831</x:v>
      </x:c>
      <x:c r="W150" s="76" t="str">
        <x:v>10.1177/1464700116663831</x:v>
      </x:c>
      <x:c r="X150" s="94" t="n">
        <x:v>46230</x:v>
      </x:c>
      <x:c r="Y150" s="94" t="n">
        <x:v>46230</x:v>
      </x:c>
      <x:c r="Z150" s="76" t="str"/>
      <x:c r="AA150" s="76" t="str"/>
      <x:c r="AB150" s="76" t="n">
        <x:v>145</x:v>
      </x:c>
      <x:c r="AC150" s="76" t="str">
        <x:v>INTERNAL IMMANENT CRITIQUE</x:v>
      </x:c>
      <x:c r="AD150" s="76" t="str">
        <x:v>MIXED / QUALIFIED CRITIQUE</x:v>
      </x:c>
      <x:c r="AE150" s="76" t="str">
        <x:v>NO</x:v>
      </x:c>
      <x:c r="AF150" s="76" t="str">
        <x:v>Experience as commodified authority and a means of silencing critics</x:v>
      </x:c>
      <x:c r="AG150" s="76" t="str">
        <x:v>ABSTRACT ONLY</x:v>
      </x:c>
      <x:c r="AH150" s="76" t="str">
        <x:v>Paraphrase: The article analyzes experience inside contemporary feminist politics rather than rejecting the political use of personal experience.</x:v>
      </x:c>
      <x:c r="AI150" s="76" t="str">
        <x:v>Abstract</x:v>
      </x:c>
      <x:c r="AJ150" s="76" t="str">
        <x:v>https://doi.org/10.1177/1464700116663831</x:v>
      </x:c>
      <x:c r="AK150" s="76" t="str">
        <x:v>ABSTRACT ONLY</x:v>
      </x:c>
      <x:c r="AL150" s="76" t="str">
        <x:v>Paraphrase: It rejects decontextualized experience capital while noting that silenced critics are often from more marginalized social positions.</x:v>
      </x:c>
      <x:c r="AM150" s="76" t="str">
        <x:v>Abstract</x:v>
      </x:c>
      <x:c r="AN150" s="76" t="str">
        <x:v>https://doi.org/10.1177/1464700116663831</x:v>
      </x:c>
      <x:c r="AO150" s="76" t="str"/>
      <x:c r="AP150" s="76" t="str">
        <x:v>Research team</x:v>
      </x:c>
      <x:c r="AQ150" s="76" t="str">
        <x:v>GORGONWARS-PREMISE-1.0</x:v>
      </x:c>
      <x:c r="AR150" s="76" t="str"/>
      <x:c r="AS150" s="82" t="str">
        <x:f>IF(A150="","",IF(OR(E150="NOT APPLICABLE",E150="PREMISES UNRESOLVED"),"N/A",IF(OR(AND(F150&lt;&gt;"NO EVIDENCE",F150&lt;&gt;"NOT APPLICABLE",OR(AG150="",AH150="",AI150="",AJ150="",AG150="SYSTEM INFERENCE",AG150="ABSTRACT ONLY",AG150="SECONDARY REPORT",AG150="UNVERIFIED",AI150="Exact locator needed",AI150="HAU forum framing; exact target locator needed",AI150="Forum exchange; exact locator needed")),AND(G150&lt;&gt;"NO EVIDENCE",G150&lt;&gt;"NOT APPLICABLE",OR(AK150="",AL150="",AM150="",AN150="",AK150="SYSTEM INFERENCE",AK150="ABSTRACT ONLY",AK150="SECONDARY REPORT",AK150="UNVERIFIED",AM150="Exact locator needed",AM150="HAU forum framing; exact target locator needed",AM150="Forum exchange; exact locator needed"))),"EVIDENCE DEBT","READY")))</x:f>
        <x:v>EVIDENCE DEBT</x:v>
      </x:c>
      <x:c r="AT150" s="77" t="str">
        <x:v>Added in premise-first expansion; deliberately kept inside rather than laundered into foundational dissent.</x:v>
      </x:c>
    </x:row>
    <x:row r="151" ht="50" customHeight="1">
      <x:c r="A151" s="85" t="n">
        <x:v>146</x:v>
      </x:c>
      <x:c r="B151" s="73" t="str">
        <x:v>Active</x:v>
      </x:c>
      <x:c r="C151" s="89" t="n">
        <x:v>2</x:v>
      </x:c>
      <x:c r="D151" s="82" t="str">
        <x:f>IF(C151="","",IFERROR(VLOOKUP(C151,'Database controls'!$A$5:$B$20,2,FALSE),"NEW / UNCATEGORIZED"))</x:f>
        <x:v>Foundational public/private-boundary dissent</x:v>
      </x:c>
      <x:c r="E151" s="73" t="str">
        <x:v>OUTSIDE / EXCOMMUNICABLE</x:v>
      </x:c>
      <x:c r="F151" s="73" t="str">
        <x:v>REJECTS</x:v>
      </x:c>
      <x:c r="G151" s="73" t="str">
        <x:v>NO EVIDENCE</x:v>
      </x:c>
      <x:c r="H151" s="82" t="str">
        <x:f>IF(A151="","",IF(OR(F151="REJECTS",G151="REJECTS"),"OUTSIDE / EXCOMMUNICABLE",IF(AND(OR(F151="RETAINS",F151="RETAINS WITH QUALIFICATION"),OR(G151="RETAINS",G151="RETAINS WITH QUALIFICATION")),"INTERNAL GORGONWARS",IF(AND(F151="NOT APPLICABLE",G151="NOT APPLICABLE"),"NOT APPLICABLE","PREMISES UNRESOLVED"))))</x:f>
        <x:v>OUTSIDE / EXCOMMUNICABLE</x:v>
      </x:c>
      <x:c r="I151" s="82" t="str">
        <x:f>IF(A151="","",IF(E151=H151,"OK",IF(AO151&lt;&gt;"","OVERRIDDEN","REVIEW")))</x:f>
        <x:v>OK</x:v>
      </x:c>
      <x:c r="J151" s="73" t="str">
        <x:v>Feminist reconstruction that preserves the public/private divide</x:v>
      </x:c>
      <x:c r="K151" s="73" t="str">
        <x:v>Foundational antecedent</x:v>
      </x:c>
      <x:c r="L151" s="73" t="str">
        <x:v>Peer-reviewed journal article</x:v>
      </x:c>
      <x:c r="M151" s="73" t="str">
        <x:v>Peer-reviewed</x:v>
      </x:c>
      <x:c r="N151" s="89" t="n">
        <x:v>2007</x:v>
      </x:c>
      <x:c r="O151" s="73" t="str">
        <x:v>Theresa Man Ling Lee</x:v>
      </x:c>
      <x:c r="P151" s="73" t="str">
        <x:v>Rethinking the Personal and the Political: Feminist Activism and Civic Engagement</x:v>
      </x:c>
      <x:c r="Q151" s="73" t="str">
        <x:v>Hypatia 22(4):163–179</x:v>
      </x:c>
      <x:c r="R151" s="73" t="str">
        <x:v>English</x:v>
      </x:c>
      <x:c r="S151" s="73" t="str">
        <x:v>Feminist civic action must bridge private experience and public life while still sustaining the distinction that protects dignity, agency, and plural citizenship.</x:v>
      </x:c>
      <x:c r="T151" s="73" t="str">
        <x:v>Rejects collapse of the divide, not every political connection between personal life and public power.</x:v>
      </x:c>
      <x:c r="U151" s="73" t="str">
        <x:v>Abstract only</x:v>
      </x:c>
      <x:c r="V151" s="73" t="str">
        <x:v>https://doi.org/10.1111/j.1527-2001.2007.tb01326.x</x:v>
      </x:c>
      <x:c r="W151" s="73" t="str">
        <x:v>10.1111/j.1527-2001.2007.tb01326.x</x:v>
      </x:c>
      <x:c r="X151" s="93" t="n">
        <x:v>46230</x:v>
      </x:c>
      <x:c r="Y151" s="93" t="n">
        <x:v>46230</x:v>
      </x:c>
      <x:c r="Z151" s="73" t="str"/>
      <x:c r="AA151" s="73" t="str"/>
      <x:c r="AB151" s="73" t="n">
        <x:v>146</x:v>
      </x:c>
      <x:c r="AC151" s="73" t="str">
        <x:v>FOUNDATIONAL ANTECEDENT</x:v>
      </x:c>
      <x:c r="AD151" s="73" t="str">
        <x:v>EXPLICIT CRITIQUE</x:v>
      </x:c>
      <x:c r="AE151" s="73" t="str">
        <x:v>NO</x:v>
      </x:c>
      <x:c r="AF151" s="73" t="str">
        <x:v>Subversion of the public/private divide</x:v>
      </x:c>
      <x:c r="AG151" s="73" t="str">
        <x:v>DIRECT EXPLICIT</x:v>
      </x:c>
      <x:c r="AH151" s="73" t="str">
        <x:v>Paraphrase: Civic engagement has the paradoxical need both to bridge and to sustain the public/private divide.</x:v>
      </x:c>
      <x:c r="AI151" s="73" t="str">
        <x:v>Abstract</x:v>
      </x:c>
      <x:c r="AJ151" s="73" t="str">
        <x:v>https://doi.org/10.1111/j.1527-2001.2007.tb01326.x</x:v>
      </x:c>
      <x:c r="AK151" s="73" t="str">
        <x:v>NO EVIDENCE</x:v>
      </x:c>
      <x:c r="AL151" s="73" t="str"/>
      <x:c r="AM151" s="73" t="str"/>
      <x:c r="AN151" s="73" t="str"/>
      <x:c r="AO151" s="73" t="str"/>
      <x:c r="AP151" s="73" t="str">
        <x:v>Research team</x:v>
      </x:c>
      <x:c r="AQ151" s="73" t="str">
        <x:v>GORGONWARS-PREMISE-1.0</x:v>
      </x:c>
      <x:c r="AR151" s="73" t="str"/>
      <x:c r="AS151" s="82" t="str">
        <x:f>IF(A151="","",IF(OR(E151="NOT APPLICABLE",E151="PREMISES UNRESOLVED"),"N/A",IF(OR(AND(F151&lt;&gt;"NO EVIDENCE",F151&lt;&gt;"NOT APPLICABLE",OR(AG151="",AH151="",AI151="",AJ151="",AG151="SYSTEM INFERENCE",AG151="ABSTRACT ONLY",AG151="SECONDARY REPORT",AG151="UNVERIFIED",AI151="Exact locator needed",AI151="HAU forum framing; exact target locator needed",AI151="Forum exchange; exact locator needed")),AND(G151&lt;&gt;"NO EVIDENCE",G151&lt;&gt;"NOT APPLICABLE",OR(AK151="",AL151="",AM151="",AN151="",AK151="SYSTEM INFERENCE",AK151="ABSTRACT ONLY",AK151="SECONDARY REPORT",AK151="UNVERIFIED",AM151="Exact locator needed",AM151="HAU forum framing; exact target locator needed",AM151="Forum exchange; exact locator needed"))),"EVIDENCE DEBT","READY")))</x:f>
        <x:v>READY</x:v>
      </x:c>
      <x:c r="AT151" s="74" t="str">
        <x:v>Added as a feminist source that rejects collapse rather than as an allegedly nonfeminist exception.</x:v>
      </x:c>
    </x:row>
    <x:row r="152" ht="50" customHeight="1">
      <x:c r="A152" s="86" t="n">
        <x:v>147</x:v>
      </x:c>
      <x:c r="B152" s="76" t="str">
        <x:v>Active</x:v>
      </x:c>
      <x:c r="C152" s="90" t="n">
        <x:v>2</x:v>
      </x:c>
      <x:c r="D152" s="82" t="str">
        <x:f>IF(C152="","",IFERROR(VLOOKUP(C152,'Database controls'!$A$5:$B$20,2,FALSE),"NEW / UNCATEGORIZED"))</x:f>
        <x:v>Foundational public/private-boundary dissent</x:v>
      </x:c>
      <x:c r="E152" s="76" t="str">
        <x:v>OUTSIDE / EXCOMMUNICABLE</x:v>
      </x:c>
      <x:c r="F152" s="76" t="str">
        <x:v>REJECTS</x:v>
      </x:c>
      <x:c r="G152" s="76" t="str">
        <x:v>NO EVIDENCE</x:v>
      </x:c>
      <x:c r="H152" s="82" t="str">
        <x:f>IF(A152="","",IF(OR(F152="REJECTS",G152="REJECTS"),"OUTSIDE / EXCOMMUNICABLE",IF(AND(OR(F152="RETAINS",F152="RETAINS WITH QUALIFICATION"),OR(G152="RETAINS",G152="RETAINS WITH QUALIFICATION")),"INTERNAL GORGONWARS",IF(AND(F152="NOT APPLICABLE",G152="NOT APPLICABLE"),"NOT APPLICABLE","PREMISES UNRESOLVED"))))</x:f>
        <x:v>OUTSIDE / EXCOMMUNICABLE</x:v>
      </x:c>
      <x:c r="I152" s="82" t="str">
        <x:f>IF(A152="","",IF(E152=H152,"OK",IF(AO152&lt;&gt;"","OVERRIDDEN","REVIEW")))</x:f>
        <x:v>OK</x:v>
      </x:c>
      <x:c r="J152" s="76" t="str">
        <x:v>Feminist privacy critique of politicized intimacy</x:v>
      </x:c>
      <x:c r="K152" s="76" t="str">
        <x:v>Foundational antecedent</x:v>
      </x:c>
      <x:c r="L152" s="76" t="str">
        <x:v>Peer-reviewed journal article</x:v>
      </x:c>
      <x:c r="M152" s="76" t="str">
        <x:v>Peer-reviewed</x:v>
      </x:c>
      <x:c r="N152" s="90" t="n">
        <x:v>2001</x:v>
      </x:c>
      <x:c r="O152" s="76" t="str">
        <x:v>Juliet A. Williams</x:v>
      </x:c>
      <x:c r="P152" s="76" t="str">
        <x:v>The Personal is Political: Thinking Through the Clinton/Lewinsky/Starr Affair</x:v>
      </x:c>
      <x:c r="Q152" s="76" t="str">
        <x:v>PS: Political Science &amp; Politics 34(1):93–98</x:v>
      </x:c>
      <x:c r="R152" s="76" t="str">
        <x:v>English</x:v>
      </x:c>
      <x:c r="S152" s="76" t="str">
        <x:v>Making intimate relationships politically answerable can invite official coercion, so feminism must preserve privacy as a real shield instead of treating every personal matter as public business.</x:v>
      </x:c>
      <x:c r="T152" s="76" t="str">
        <x:v>A case-based feminist argument about political scandal, not a direct #MeToo study.</x:v>
      </x:c>
      <x:c r="U152" s="76" t="str">
        <x:v>Source record verified</x:v>
      </x:c>
      <x:c r="V152" s="76" t="str">
        <x:v>https://doi.org/10.1017/S1049096501000142</x:v>
      </x:c>
      <x:c r="W152" s="76" t="str">
        <x:v>10.1017/S1049096501000142</x:v>
      </x:c>
      <x:c r="X152" s="94" t="n">
        <x:v>46230</x:v>
      </x:c>
      <x:c r="Y152" s="94" t="n">
        <x:v>46230</x:v>
      </x:c>
      <x:c r="Z152" s="76" t="str"/>
      <x:c r="AA152" s="76" t="str"/>
      <x:c r="AB152" s="76" t="n">
        <x:v>147</x:v>
      </x:c>
      <x:c r="AC152" s="76" t="str">
        <x:v>FOUNDATIONAL ANTECEDENT</x:v>
      </x:c>
      <x:c r="AD152" s="76" t="str">
        <x:v>EXPLICIT CRITIQUE</x:v>
      </x:c>
      <x:c r="AE152" s="76" t="str">
        <x:v>NO</x:v>
      </x:c>
      <x:c r="AF152" s="76" t="str">
        <x:v>Politicization of intimate relationships and official coercion</x:v>
      </x:c>
      <x:c r="AG152" s="76" t="str">
        <x:v>DIRECT EXPLICIT</x:v>
      </x:c>
      <x:c r="AH152" s="76" t="str">
        <x:v>Paraphrase: The affair exposed costs in politicizing personal matters, while privacy remains an essential shield against official coercion.</x:v>
      </x:c>
      <x:c r="AI152" s="76" t="str">
        <x:v>Publisher extract and pp. 93–98</x:v>
      </x:c>
      <x:c r="AJ152" s="76" t="str">
        <x:v>https://www.cambridge.org/core/journals/ps-political-science-and-politics/article/personal-is-political-thinking-through-the-clintonlewinskystarr-affair/4414C5C988EB11CAEC1B38452837E0CA</x:v>
      </x:c>
      <x:c r="AK152" s="76" t="str">
        <x:v>NO EVIDENCE</x:v>
      </x:c>
      <x:c r="AL152" s="76" t="str"/>
      <x:c r="AM152" s="76" t="str"/>
      <x:c r="AN152" s="76" t="str"/>
      <x:c r="AO152" s="76" t="str"/>
      <x:c r="AP152" s="76" t="str">
        <x:v>Research team</x:v>
      </x:c>
      <x:c r="AQ152" s="76" t="str">
        <x:v>GORGONWARS-PREMISE-1.0</x:v>
      </x:c>
      <x:c r="AR152" s="76" t="str"/>
      <x:c r="AS152" s="82" t="str">
        <x:f>IF(A152="","",IF(OR(E152="NOT APPLICABLE",E152="PREMISES UNRESOLVED"),"N/A",IF(OR(AND(F152&lt;&gt;"NO EVIDENCE",F152&lt;&gt;"NOT APPLICABLE",OR(AG152="",AH152="",AI152="",AJ152="",AG152="SYSTEM INFERENCE",AG152="ABSTRACT ONLY",AG152="SECONDARY REPORT",AG152="UNVERIFIED",AI152="Exact locator needed",AI152="HAU forum framing; exact target locator needed",AI152="Forum exchange; exact locator needed")),AND(G152&lt;&gt;"NO EVIDENCE",G152&lt;&gt;"NOT APPLICABLE",OR(AK152="",AL152="",AM152="",AN152="",AK152="SYSTEM INFERENCE",AK152="ABSTRACT ONLY",AK152="SECONDARY REPORT",AK152="UNVERIFIED",AM152="Exact locator needed",AM152="HAU forum framing; exact target locator needed",AM152="Forum exchange; exact locator needed"))),"EVIDENCE DEBT","READY")))</x:f>
        <x:v>READY</x:v>
      </x:c>
      <x:c r="AT152" s="77" t="str">
        <x:v>Added in the foundational privacy branch.</x:v>
      </x:c>
    </x:row>
    <x:row r="153" ht="50" customHeight="1">
      <x:c r="A153" s="85" t="n">
        <x:v>148</x:v>
      </x:c>
      <x:c r="B153" s="73" t="str">
        <x:v>Active</x:v>
      </x:c>
      <x:c r="C153" s="89" t="n">
        <x:v>4</x:v>
      </x:c>
      <x:c r="D153" s="82" t="str">
        <x:f>IF(C153="","",IFERROR(VLOOKUP(C153,'Database controls'!$A$5:$B$20,2,FALSE),"NEW / UNCATEGORIZED"))</x:f>
        <x:v>Testimony, belief, and epistemic authority</x:v>
      </x:c>
      <x:c r="E153" s="73" t="str">
        <x:v>OUTSIDE / EXCOMMUNICABLE</x:v>
      </x:c>
      <x:c r="F153" s="73" t="str">
        <x:v>NO EVIDENCE</x:v>
      </x:c>
      <x:c r="G153" s="73" t="str">
        <x:v>REJECTS</x:v>
      </x:c>
      <x:c r="H153" s="82" t="str">
        <x:f>IF(A153="","",IF(OR(F153="REJECTS",G153="REJECTS"),"OUTSIDE / EXCOMMUNICABLE",IF(AND(OR(F153="RETAINS",F153="RETAINS WITH QUALIFICATION"),OR(G153="RETAINS",G153="RETAINS WITH QUALIFICATION")),"INTERNAL GORGONWARS",IF(AND(F153="NOT APPLICABLE",G153="NOT APPLICABLE"),"NOT APPLICABLE","PREMISES UNRESOLVED"))))</x:f>
        <x:v>OUTSIDE / EXCOMMUNICABLE</x:v>
      </x:c>
      <x:c r="I153" s="82" t="str">
        <x:f>IF(A153="","",IF(E153=H153,"OK",IF(AO153&lt;&gt;"","OVERRIDDEN","REVIEW")))</x:f>
        <x:v>OK</x:v>
      </x:c>
      <x:c r="J153" s="73" t="str">
        <x:v>Direct critique of experience as feminist epistemic foundation</x:v>
      </x:c>
      <x:c r="K153" s="73" t="str">
        <x:v>Foundational antecedent</x:v>
      </x:c>
      <x:c r="L153" s="73" t="str">
        <x:v>Peer-reviewed journal article</x:v>
      </x:c>
      <x:c r="M153" s="73" t="str">
        <x:v>Peer-reviewed</x:v>
      </x:c>
      <x:c r="N153" s="89" t="n">
        <x:v>1987</x:v>
      </x:c>
      <x:c r="O153" s="73" t="str">
        <x:v>Judith Grant</x:v>
      </x:c>
      <x:c r="P153" s="73" t="str">
        <x:v>I Feel Therefore I Am: A Critique of Female Experience as the Basis for a Feminist Epistemology</x:v>
      </x:c>
      <x:c r="Q153" s="73" t="str">
        <x:v>Women &amp; Politics 7(3):99–114</x:v>
      </x:c>
      <x:c r="R153" s="73" t="str">
        <x:v>English</x:v>
      </x:c>
      <x:c r="S153" s="73" t="str">
        <x:v>Replacing allegedly male reason with women’s experience merely stereotypes women, ignores differences across class, race, culture, and time, and cannot supply a reliable epistemology.</x:v>
      </x:c>
      <x:c r="T153" s="73" t="str">
        <x:v>Targets experience as an epistemic foundation; it does not deny that lived experience supplies relevant evidence.</x:v>
      </x:c>
      <x:c r="U153" s="73" t="str">
        <x:v>Abstract only</x:v>
      </x:c>
      <x:c r="V153" s="73" t="str">
        <x:v>https://doi.org/10.1300/J014v07n03_08</x:v>
      </x:c>
      <x:c r="W153" s="73" t="str">
        <x:v>10.1300/J014v07n03_08</x:v>
      </x:c>
      <x:c r="X153" s="93" t="n">
        <x:v>46230</x:v>
      </x:c>
      <x:c r="Y153" s="93" t="n">
        <x:v>46230</x:v>
      </x:c>
      <x:c r="Z153" s="73" t="str"/>
      <x:c r="AA153" s="73" t="str"/>
      <x:c r="AB153" s="73" t="n">
        <x:v>148</x:v>
      </x:c>
      <x:c r="AC153" s="73" t="str">
        <x:v>FOUNDATIONAL ANTECEDENT</x:v>
      </x:c>
      <x:c r="AD153" s="73" t="str">
        <x:v>EXPLICIT CRITIQUE</x:v>
      </x:c>
      <x:c r="AE153" s="73" t="str">
        <x:v>NO</x:v>
      </x:c>
      <x:c r="AF153" s="73" t="str">
        <x:v>Female experience as self-authorizing epistemic foundation</x:v>
      </x:c>
      <x:c r="AG153" s="73" t="str">
        <x:v>NO EVIDENCE</x:v>
      </x:c>
      <x:c r="AH153" s="73" t="str"/>
      <x:c r="AI153" s="73" t="str"/>
      <x:c r="AJ153" s="73" t="str"/>
      <x:c r="AK153" s="73" t="str">
        <x:v>DIRECT EXPLICIT</x:v>
      </x:c>
      <x:c r="AL153" s="73" t="str">
        <x:v>Paraphrase: Experience-based feminist epistemology is essentialist, difficult to operationalize, and unable to accommodate differences among women.</x:v>
      </x:c>
      <x:c r="AM153" s="73" t="str">
        <x:v>Abstract</x:v>
      </x:c>
      <x:c r="AN153" s="73" t="str">
        <x:v>https://www.tandfonline.com/doi/abs/10.1300/J014v07n03_08</x:v>
      </x:c>
      <x:c r="AO153" s="73" t="str"/>
      <x:c r="AP153" s="73" t="str">
        <x:v>Research team</x:v>
      </x:c>
      <x:c r="AQ153" s="73" t="str">
        <x:v>GORGONWARS-PREMISE-1.0</x:v>
      </x:c>
      <x:c r="AR153" s="73" t="str"/>
      <x:c r="AS153" s="82" t="str">
        <x:f>IF(A153="","",IF(OR(E153="NOT APPLICABLE",E153="PREMISES UNRESOLVED"),"N/A",IF(OR(AND(F153&lt;&gt;"NO EVIDENCE",F153&lt;&gt;"NOT APPLICABLE",OR(AG153="",AH153="",AI153="",AJ153="",AG153="SYSTEM INFERENCE",AG153="ABSTRACT ONLY",AG153="SECONDARY REPORT",AG153="UNVERIFIED",AI153="Exact locator needed",AI153="HAU forum framing; exact target locator needed",AI153="Forum exchange; exact locator needed")),AND(G153&lt;&gt;"NO EVIDENCE",G153&lt;&gt;"NOT APPLICABLE",OR(AK153="",AL153="",AM153="",AN153="",AK153="SYSTEM INFERENCE",AK153="ABSTRACT ONLY",AK153="SECONDARY REPORT",AK153="UNVERIFIED",AM153="Exact locator needed",AM153="HAU forum framing; exact target locator needed",AM153="Forum exchange; exact locator needed"))),"EVIDENCE DEBT","READY")))</x:f>
        <x:v>READY</x:v>
      </x:c>
      <x:c r="AT153" s="74" t="str">
        <x:v>Added in the explicit anti-standpoint antecedent branch.</x:v>
      </x:c>
    </x:row>
    <x:row r="154" ht="50" customHeight="1">
      <x:c r="A154" s="86" t="n">
        <x:v>149</x:v>
      </x:c>
      <x:c r="B154" s="76" t="str">
        <x:v>Active</x:v>
      </x:c>
      <x:c r="C154" s="90" t="n">
        <x:v>4</x:v>
      </x:c>
      <x:c r="D154" s="82" t="str">
        <x:f>IF(C154="","",IFERROR(VLOOKUP(C154,'Database controls'!$A$5:$B$20,2,FALSE),"NEW / UNCATEGORIZED"))</x:f>
        <x:v>Testimony, belief, and epistemic authority</x:v>
      </x:c>
      <x:c r="E154" s="76" t="str">
        <x:v>OUTSIDE / EXCOMMUNICABLE</x:v>
      </x:c>
      <x:c r="F154" s="76" t="str">
        <x:v>NO EVIDENCE</x:v>
      </x:c>
      <x:c r="G154" s="76" t="str">
        <x:v>REJECTS</x:v>
      </x:c>
      <x:c r="H154" s="82" t="str">
        <x:f>IF(A154="","",IF(OR(F154="REJECTS",G154="REJECTS"),"OUTSIDE / EXCOMMUNICABLE",IF(AND(OR(F154="RETAINS",F154="RETAINS WITH QUALIFICATION"),OR(G154="RETAINS",G154="RETAINS WITH QUALIFICATION")),"INTERNAL GORGONWARS",IF(AND(F154="NOT APPLICABLE",G154="NOT APPLICABLE"),"NOT APPLICABLE","PREMISES UNRESOLVED"))))</x:f>
        <x:v>OUTSIDE / EXCOMMUNICABLE</x:v>
      </x:c>
      <x:c r="I154" s="82" t="str">
        <x:f>IF(A154="","",IF(E154=H154,"OK",IF(AO154&lt;&gt;"","OVERRIDDEN","REVIEW")))</x:f>
        <x:v>OK</x:v>
      </x:c>
      <x:c r="J154" s="76" t="str">
        <x:v>Feminist empiricist rejection of standpoint privilege</x:v>
      </x:c>
      <x:c r="K154" s="76" t="str">
        <x:v>Foundational antecedent</x:v>
      </x:c>
      <x:c r="L154" s="76" t="str">
        <x:v>Peer-reviewed journal article</x:v>
      </x:c>
      <x:c r="M154" s="76" t="str">
        <x:v>Peer-reviewed</x:v>
      </x:c>
      <x:c r="N154" s="90" t="n">
        <x:v>1993</x:v>
      </x:c>
      <x:c r="O154" s="76" t="str">
        <x:v>Susan Haack</x:v>
      </x:c>
      <x:c r="P154" s="76" t="str">
        <x:v>Epistemological Reflections of an Old Feminist</x:v>
      </x:c>
      <x:c r="Q154" s="76" t="str">
        <x:v>Reason Papers 18:31–43</x:v>
      </x:c>
      <x:c r="R154" s="76" t="str">
        <x:v>English</x:v>
      </x:c>
      <x:c r="S154" s="76" t="str">
        <x:v>Oppression can reveal neglected questions, but it does not automatically produce epistemic privilege, a female way of knowing, or permission to subordinate inquiry to politics.</x:v>
      </x:c>
      <x:c r="T154" s="76" t="str">
        <x:v>A feminist empiricist critique of politicized epistemology, not an argument that social position never affects available evidence.</x:v>
      </x:c>
      <x:c r="U154" s="76" t="str">
        <x:v>Full text verified</x:v>
      </x:c>
      <x:c r="V154" s="76" t="str">
        <x:v>https://repository.law.miami.edu/fac_articles/788/</x:v>
      </x:c>
      <x:c r="W154" s="76" t="str"/>
      <x:c r="X154" s="94" t="n">
        <x:v>46230</x:v>
      </x:c>
      <x:c r="Y154" s="94" t="n">
        <x:v>46230</x:v>
      </x:c>
      <x:c r="Z154" s="76" t="str"/>
      <x:c r="AA154" s="76" t="str"/>
      <x:c r="AB154" s="76" t="n">
        <x:v>149</x:v>
      </x:c>
      <x:c r="AC154" s="76" t="str">
        <x:v>FOUNDATIONAL ANTECEDENT</x:v>
      </x:c>
      <x:c r="AD154" s="76" t="str">
        <x:v>EXPLICIT CRITIQUE</x:v>
      </x:c>
      <x:c r="AE154" s="76" t="str">
        <x:v>NO</x:v>
      </x:c>
      <x:c r="AF154" s="76" t="str">
        <x:v>Epistemic privilege, female ways of knowing, and politicized inquiry</x:v>
      </x:c>
      <x:c r="AG154" s="76" t="str">
        <x:v>NO EVIDENCE</x:v>
      </x:c>
      <x:c r="AH154" s="76" t="str"/>
      <x:c r="AI154" s="76" t="str"/>
      <x:c r="AJ154" s="76" t="str"/>
      <x:c r="AK154" s="76" t="str">
        <x:v>DIRECT EXPLICIT</x:v>
      </x:c>
      <x:c r="AL154" s="76" t="str">
        <x:v>Paraphrase: Haack denies evidence for distinctively female ways of knowing and for the claim that marginalization itself confers epistemic privilege.</x:v>
      </x:c>
      <x:c r="AM154" s="76" t="str">
        <x:v>pp. 31–43, especially discussion of privileged insight</x:v>
      </x:c>
      <x:c r="AN154" s="76" t="str">
        <x:v>https://reasonpapers.com/pdf/18/rp_18_3.pdf</x:v>
      </x:c>
      <x:c r="AO154" s="76" t="str"/>
      <x:c r="AP154" s="76" t="str">
        <x:v>Research team</x:v>
      </x:c>
      <x:c r="AQ154" s="76" t="str">
        <x:v>GORGONWARS-PREMISE-1.0</x:v>
      </x:c>
      <x:c r="AR154" s="76" t="str"/>
      <x:c r="AS154" s="82" t="str">
        <x:f>IF(A154="","",IF(OR(E154="NOT APPLICABLE",E154="PREMISES UNRESOLVED"),"N/A",IF(OR(AND(F154&lt;&gt;"NO EVIDENCE",F154&lt;&gt;"NOT APPLICABLE",OR(AG154="",AH154="",AI154="",AJ154="",AG154="SYSTEM INFERENCE",AG154="ABSTRACT ONLY",AG154="SECONDARY REPORT",AG154="UNVERIFIED",AI154="Exact locator needed",AI154="HAU forum framing; exact target locator needed",AI154="Forum exchange; exact locator needed")),AND(G154&lt;&gt;"NO EVIDENCE",G154&lt;&gt;"NOT APPLICABLE",OR(AK154="",AL154="",AM154="",AN154="",AK154="SYSTEM INFERENCE",AK154="ABSTRACT ONLY",AK154="SECONDARY REPORT",AK154="UNVERIFIED",AM154="Exact locator needed",AM154="HAU forum framing; exact target locator needed",AM154="Forum exchange; exact locator needed"))),"EVIDENCE DEBT","READY")))</x:f>
        <x:v>READY</x:v>
      </x:c>
      <x:c r="AT154" s="77" t="str">
        <x:v>Added as a direct anti-standpoint feminist source.</x:v>
      </x:c>
    </x:row>
    <x:row r="155" ht="50" customHeight="1">
      <x:c r="A155" s="85" t="n">
        <x:v>150</x:v>
      </x:c>
      <x:c r="B155" s="73" t="str">
        <x:v>Active</x:v>
      </x:c>
      <x:c r="C155" s="89" t="n">
        <x:v>4</x:v>
      </x:c>
      <x:c r="D155" s="82" t="str">
        <x:f>IF(C155="","",IFERROR(VLOOKUP(C155,'Database controls'!$A$5:$B$20,2,FALSE),"NEW / UNCATEGORIZED"))</x:f>
        <x:v>Testimony, belief, and epistemic authority</x:v>
      </x:c>
      <x:c r="E155" s="73" t="str">
        <x:v>OUTSIDE / EXCOMMUNICABLE</x:v>
      </x:c>
      <x:c r="F155" s="73" t="str">
        <x:v>NO EVIDENCE</x:v>
      </x:c>
      <x:c r="G155" s="73" t="str">
        <x:v>REJECTS</x:v>
      </x:c>
      <x:c r="H155" s="82" t="str">
        <x:f>IF(A155="","",IF(OR(F155="REJECTS",G155="REJECTS"),"OUTSIDE / EXCOMMUNICABLE",IF(AND(OR(F155="RETAINS",F155="RETAINS WITH QUALIFICATION"),OR(G155="RETAINS",G155="RETAINS WITH QUALIFICATION")),"INTERNAL GORGONWARS",IF(AND(F155="NOT APPLICABLE",G155="NOT APPLICABLE"),"NOT APPLICABLE","PREMISES UNRESOLVED"))))</x:f>
        <x:v>OUTSIDE / EXCOMMUNICABLE</x:v>
      </x:c>
      <x:c r="I155" s="82" t="str">
        <x:f>IF(A155="","",IF(E155=H155,"OK",IF(AO155&lt;&gt;"","OVERRIDDEN","REVIEW")))</x:f>
        <x:v>OK</x:v>
      </x:c>
      <x:c r="J155" s="73" t="str">
        <x:v>Philosophy-of-science critique of feminist standpoint epistemology</x:v>
      </x:c>
      <x:c r="K155" s="73" t="str">
        <x:v>Foundational antecedent</x:v>
      </x:c>
      <x:c r="L155" s="73" t="str">
        <x:v>Peer-reviewed journal article</x:v>
      </x:c>
      <x:c r="M155" s="73" t="str">
        <x:v>Peer-reviewed</x:v>
      </x:c>
      <x:c r="N155" s="89" t="n">
        <x:v>1994</x:v>
      </x:c>
      <x:c r="O155" s="73" t="str">
        <x:v>Cassandra L. Pinnick</x:v>
      </x:c>
      <x:c r="P155" s="73" t="str">
        <x:v>Feminist Epistemology: Implications for Philosophy of Science</x:v>
      </x:c>
      <x:c r="Q155" s="73" t="str">
        <x:v>Philosophy of Science 61(4):646–657</x:v>
      </x:c>
      <x:c r="R155" s="73" t="str">
        <x:v>English</x:v>
      </x:c>
      <x:c r="S155" s="73" t="str">
        <x:v>Standpoint theory cannot claim superior knowledge merely from social position while escaping relativism, so feminist science still needs public evidentiary standards.</x:v>
      </x:c>
      <x:c r="T155" s="73" t="str">
        <x:v>A philosophy-of-science critique, not a study of testimonial credibility in sexual-assault cases.</x:v>
      </x:c>
      <x:c r="U155" s="73" t="str">
        <x:v>Abstract only</x:v>
      </x:c>
      <x:c r="V155" s="73" t="str">
        <x:v>https://doi.org/10.1086/289827</x:v>
      </x:c>
      <x:c r="W155" s="73" t="str">
        <x:v>10.1086/289827</x:v>
      </x:c>
      <x:c r="X155" s="93" t="n">
        <x:v>46230</x:v>
      </x:c>
      <x:c r="Y155" s="93" t="n">
        <x:v>46230</x:v>
      </x:c>
      <x:c r="Z155" s="73" t="str"/>
      <x:c r="AA155" s="73" t="str"/>
      <x:c r="AB155" s="73" t="n">
        <x:v>150</x:v>
      </x:c>
      <x:c r="AC155" s="73" t="str">
        <x:v>FOUNDATIONAL ANTECEDENT</x:v>
      </x:c>
      <x:c r="AD155" s="73" t="str">
        <x:v>EXPLICIT CRITIQUE</x:v>
      </x:c>
      <x:c r="AE155" s="73" t="str">
        <x:v>NO</x:v>
      </x:c>
      <x:c r="AF155" s="73" t="str">
        <x:v>Standpoint privilege and relativism</x:v>
      </x:c>
      <x:c r="AG155" s="73" t="str">
        <x:v>NO EVIDENCE</x:v>
      </x:c>
      <x:c r="AH155" s="73" t="str"/>
      <x:c r="AI155" s="73" t="str"/>
      <x:c r="AJ155" s="73" t="str"/>
      <x:c r="AK155" s="73" t="str">
        <x:v>DIRECT EXPLICIT</x:v>
      </x:c>
      <x:c r="AL155" s="73" t="str">
        <x:v>Paraphrase: The abstract argues that Harding’s standpoint theory fails to escape relativism and does not constitute an adequate feminist epistemology.</x:v>
      </x:c>
      <x:c r="AM155" s="73" t="str">
        <x:v>Abstract</x:v>
      </x:c>
      <x:c r="AN155" s="73" t="str">
        <x:v>https://doi.org/10.1086/289827</x:v>
      </x:c>
      <x:c r="AO155" s="73" t="str"/>
      <x:c r="AP155" s="73" t="str">
        <x:v>Research team</x:v>
      </x:c>
      <x:c r="AQ155" s="73" t="str">
        <x:v>GORGONWARS-PREMISE-1.0</x:v>
      </x:c>
      <x:c r="AR155" s="73" t="str"/>
      <x:c r="AS155" s="82" t="str">
        <x:f>IF(A155="","",IF(OR(E155="NOT APPLICABLE",E155="PREMISES UNRESOLVED"),"N/A",IF(OR(AND(F155&lt;&gt;"NO EVIDENCE",F155&lt;&gt;"NOT APPLICABLE",OR(AG155="",AH155="",AI155="",AJ155="",AG155="SYSTEM INFERENCE",AG155="ABSTRACT ONLY",AG155="SECONDARY REPORT",AG155="UNVERIFIED",AI155="Exact locator needed",AI155="HAU forum framing; exact target locator needed",AI155="Forum exchange; exact locator needed")),AND(G155&lt;&gt;"NO EVIDENCE",G155&lt;&gt;"NOT APPLICABLE",OR(AK155="",AL155="",AM155="",AN155="",AK155="SYSTEM INFERENCE",AK155="ABSTRACT ONLY",AK155="SECONDARY REPORT",AK155="UNVERIFIED",AM155="Exact locator needed",AM155="HAU forum framing; exact target locator needed",AM155="Forum exchange; exact locator needed"))),"EVIDENCE DEBT","READY")))</x:f>
        <x:v>READY</x:v>
      </x:c>
      <x:c r="AT155" s="74" t="str">
        <x:v>Added in the explicit anti-standpoint branch.</x:v>
      </x:c>
    </x:row>
    <x:row r="156" ht="50" customHeight="1">
      <x:c r="A156" s="86" t="n">
        <x:v>151</x:v>
      </x:c>
      <x:c r="B156" s="76" t="str">
        <x:v>Needs full text</x:v>
      </x:c>
      <x:c r="C156" s="90" t="n">
        <x:v>4</x:v>
      </x:c>
      <x:c r="D156" s="82" t="str">
        <x:f>IF(C156="","",IFERROR(VLOOKUP(C156,'Database controls'!$A$5:$B$20,2,FALSE),"NEW / UNCATEGORIZED"))</x:f>
        <x:v>Testimony, belief, and epistemic authority</x:v>
      </x:c>
      <x:c r="E156" s="76" t="str">
        <x:v>OUTSIDE / EXCOMMUNICABLE</x:v>
      </x:c>
      <x:c r="F156" s="76" t="str">
        <x:v>NO EVIDENCE</x:v>
      </x:c>
      <x:c r="G156" s="76" t="str">
        <x:v>REJECTS</x:v>
      </x:c>
      <x:c r="H156" s="82" t="str">
        <x:f>IF(A156="","",IF(OR(F156="REJECTS",G156="REJECTS"),"OUTSIDE / EXCOMMUNICABLE",IF(AND(OR(F156="RETAINS",F156="RETAINS WITH QUALIFICATION"),OR(G156="RETAINS",G156="RETAINS WITH QUALIFICATION")),"INTERNAL GORGONWARS",IF(AND(F156="NOT APPLICABLE",G156="NOT APPLICABLE"),"NOT APPLICABLE","PREMISES UNRESOLVED"))))</x:f>
        <x:v>OUTSIDE / EXCOMMUNICABLE</x:v>
      </x:c>
      <x:c r="I156" s="82" t="str">
        <x:f>IF(A156="","",IF(E156=H156,"OK",IF(AO156&lt;&gt;"","OVERRIDDEN","REVIEW")))</x:f>
        <x:v>OK</x:v>
      </x:c>
      <x:c r="J156" s="76" t="str">
        <x:v>Feminist critique of marginality as epistemic privilege</x:v>
      </x:c>
      <x:c r="K156" s="76" t="str">
        <x:v>Foundational antecedent</x:v>
      </x:c>
      <x:c r="L156" s="76" t="str">
        <x:v>Book chapter</x:v>
      </x:c>
      <x:c r="M156" s="76" t="str">
        <x:v>Unresolved</x:v>
      </x:c>
      <x:c r="N156" s="90" t="n">
        <x:v>1993</x:v>
      </x:c>
      <x:c r="O156" s="76" t="str">
        <x:v>Bat-Ami Bar On</x:v>
      </x:c>
      <x:c r="P156" s="76" t="str">
        <x:v>Marginality and Epistemic Privilege</x:v>
      </x:c>
      <x:c r="Q156" s="76" t="str">
        <x:v>Feminist Epistemologies, Routledge, pp. 83–100</x:v>
      </x:c>
      <x:c r="R156" s="76" t="str">
        <x:v>English</x:v>
      </x:c>
      <x:c r="S156" s="76" t="str">
        <x:v>Neither oppression nor a feminine cognitive style gives women a unified privileged view, because women’s inequalities intersect and no single margin explains them all.</x:v>
      </x:c>
      <x:c r="T156" s="76" t="str">
        <x:v>The current premise judgment rests on an authoritative scholarly summary; the primary chapter still needs a full-text locator.</x:v>
      </x:c>
      <x:c r="U156" s="76" t="str">
        <x:v>Secondary verification</x:v>
      </x:c>
      <x:c r="V156" s="76" t="str">
        <x:v>https://www.routledge.com/Feminist-Epistemologies/Alcoff-Potter/p/book/9780415904513</x:v>
      </x:c>
      <x:c r="W156" s="76" t="str"/>
      <x:c r="X156" s="94" t="n">
        <x:v>46230</x:v>
      </x:c>
      <x:c r="Y156" s="94" t="n">
        <x:v>46230</x:v>
      </x:c>
      <x:c r="Z156" s="76" t="str"/>
      <x:c r="AA156" s="76" t="str"/>
      <x:c r="AB156" s="76" t="n">
        <x:v>151</x:v>
      </x:c>
      <x:c r="AC156" s="76" t="str">
        <x:v>FOUNDATIONAL ANTECEDENT</x:v>
      </x:c>
      <x:c r="AD156" s="76" t="str">
        <x:v>EXPLICIT CRITIQUE</x:v>
      </x:c>
      <x:c r="AE156" s="76" t="str">
        <x:v>NO</x:v>
      </x:c>
      <x:c r="AF156" s="76" t="str">
        <x:v>Marginality and oppression as automatic epistemic privilege</x:v>
      </x:c>
      <x:c r="AG156" s="76" t="str">
        <x:v>NO EVIDENCE</x:v>
      </x:c>
      <x:c r="AH156" s="76" t="str"/>
      <x:c r="AI156" s="76" t="str"/>
      <x:c r="AJ156" s="76" t="str"/>
      <x:c r="AK156" s="76" t="str">
        <x:v>SECONDARY REPORT</x:v>
      </x:c>
      <x:c r="AL156" s="76" t="str">
        <x:v>Paraphrase of the Stanford Encyclopedia’s scholarly summary: Bar On rejects grounding women’s epistemic privilege in oppression or feminine cognitive styles and denies a unified privileged access to women’s oppression.</x:v>
      </x:c>
      <x:c r="AM156" s="76" t="str">
        <x:v>Chapter pp. 83–100; exact primary passage needed</x:v>
      </x:c>
      <x:c r="AN156" s="76" t="str">
        <x:v>https://plato.stanford.edu/entries/feminism-epistemology/</x:v>
      </x:c>
      <x:c r="AO156" s="76" t="str"/>
      <x:c r="AP156" s="76" t="str">
        <x:v>Research team</x:v>
      </x:c>
      <x:c r="AQ156" s="76" t="str">
        <x:v>GORGONWARS-PREMISE-1.0</x:v>
      </x:c>
      <x:c r="AR156" s="76" t="str"/>
      <x:c r="AS156" s="82" t="str">
        <x:f>IF(A156="","",IF(OR(E156="NOT APPLICABLE",E156="PREMISES UNRESOLVED"),"N/A",IF(OR(AND(F156&lt;&gt;"NO EVIDENCE",F156&lt;&gt;"NOT APPLICABLE",OR(AG156="",AH156="",AI156="",AJ156="",AG156="SYSTEM INFERENCE",AG156="ABSTRACT ONLY",AG156="SECONDARY REPORT",AG156="UNVERIFIED",AI156="Exact locator needed",AI156="HAU forum framing; exact target locator needed",AI156="Forum exchange; exact locator needed")),AND(G156&lt;&gt;"NO EVIDENCE",G156&lt;&gt;"NOT APPLICABLE",OR(AK156="",AL156="",AM156="",AN156="",AK156="SYSTEM INFERENCE",AK156="ABSTRACT ONLY",AK156="SECONDARY REPORT",AK156="UNVERIFIED",AM156="Exact locator needed",AM156="HAU forum framing; exact target locator needed",AM156="Forum exchange; exact locator needed"))),"EVIDENCE DEBT","READY")))</x:f>
        <x:v>EVIDENCE DEBT</x:v>
      </x:c>
      <x:c r="AT156" s="77" t="str">
        <x:v>Added with explicit evidence debt rather than presenting the secondary summary as a verified quotation.</x:v>
      </x:c>
    </x:row>
    <x:row r="157" ht="50" customHeight="1">
      <x:c r="A157" s="85" t="n">
        <x:v>152</x:v>
      </x:c>
      <x:c r="B157" s="73" t="str">
        <x:v>Needs full text</x:v>
      </x:c>
      <x:c r="C157" s="89" t="n">
        <x:v>4</x:v>
      </x:c>
      <x:c r="D157" s="82" t="str">
        <x:f>IF(C157="","",IFERROR(VLOOKUP(C157,'Database controls'!$A$5:$B$20,2,FALSE),"NEW / UNCATEGORIZED"))</x:f>
        <x:v>Testimony, belief, and epistemic authority</x:v>
      </x:c>
      <x:c r="E157" s="73" t="str">
        <x:v>OUTSIDE / EXCOMMUNICABLE</x:v>
      </x:c>
      <x:c r="F157" s="73" t="str">
        <x:v>NO EVIDENCE</x:v>
      </x:c>
      <x:c r="G157" s="73" t="str">
        <x:v>REJECTS</x:v>
      </x:c>
      <x:c r="H157" s="82" t="str">
        <x:f>IF(A157="","",IF(OR(F157="REJECTS",G157="REJECTS"),"OUTSIDE / EXCOMMUNICABLE",IF(AND(OR(F157="RETAINS",F157="RETAINS WITH QUALIFICATION"),OR(G157="RETAINS",G157="RETAINS WITH QUALIFICATION")),"INTERNAL GORGONWARS",IF(AND(F157="NOT APPLICABLE",G157="NOT APPLICABLE"),"NOT APPLICABLE","PREMISES UNRESOLVED"))))</x:f>
        <x:v>OUTSIDE / EXCOMMUNICABLE</x:v>
      </x:c>
      <x:c r="I157" s="82" t="str">
        <x:f>IF(A157="","",IF(E157=H157,"OK",IF(AO157&lt;&gt;"","OVERRIDDEN","REVIEW")))</x:f>
        <x:v>OK</x:v>
      </x:c>
      <x:c r="J157" s="73" t="str">
        <x:v>Social-epistemology critique of noncircular standpoint privilege</x:v>
      </x:c>
      <x:c r="K157" s="73" t="str">
        <x:v>Foundational antecedent</x:v>
      </x:c>
      <x:c r="L157" s="73" t="str">
        <x:v>Book chapter</x:v>
      </x:c>
      <x:c r="M157" s="73" t="str">
        <x:v>Unresolved</x:v>
      </x:c>
      <x:c r="N157" s="89" t="n">
        <x:v>1993</x:v>
      </x:c>
      <x:c r="O157" s="73" t="str">
        <x:v>Helen E. Longino</x:v>
      </x:c>
      <x:c r="P157" s="73" t="str">
        <x:v>Subjects, Power, and Knowledge: Description and Prescription in Feminist Philosophies of Science</x:v>
      </x:c>
      <x:c r="Q157" s="73" t="str">
        <x:v>Feminist Epistemologies, Routledge</x:v>
      </x:c>
      <x:c r="R157" s="73" t="str">
        <x:v>English</x:v>
      </x:c>
      <x:c r="S157" s="73" t="str">
        <x:v>A standpoint cannot prove its own privilege merely by declaring one social location superior; objectivity needs criticism across positions and public standards.</x:v>
      </x:c>
      <x:c r="T157" s="73" t="str">
        <x:v>The current premise judgment uses a scholarly secondary summary; the primary chapter needs exact pages before being marked ready.</x:v>
      </x:c>
      <x:c r="U157" s="73" t="str">
        <x:v>Secondary verification</x:v>
      </x:c>
      <x:c r="V157" s="73" t="str">
        <x:v>https://academic.oup.com/book/48826/chapter-abstract/420804879</x:v>
      </x:c>
      <x:c r="W157" s="73" t="str">
        <x:v>10.1093/oso/9780198751458.003.0018</x:v>
      </x:c>
      <x:c r="X157" s="93" t="n">
        <x:v>46230</x:v>
      </x:c>
      <x:c r="Y157" s="93" t="n">
        <x:v>46230</x:v>
      </x:c>
      <x:c r="Z157" s="73" t="str"/>
      <x:c r="AA157" s="73" t="str"/>
      <x:c r="AB157" s="73" t="n">
        <x:v>152</x:v>
      </x:c>
      <x:c r="AC157" s="73" t="str">
        <x:v>FOUNDATIONAL ANTECEDENT</x:v>
      </x:c>
      <x:c r="AD157" s="73" t="str">
        <x:v>EXPLICIT CRITIQUE</x:v>
      </x:c>
      <x:c r="AE157" s="73" t="str">
        <x:v>NO</x:v>
      </x:c>
      <x:c r="AF157" s="73" t="str">
        <x:v>Noncircular identification of epistemically privileged standpoints</x:v>
      </x:c>
      <x:c r="AG157" s="73" t="str">
        <x:v>NO EVIDENCE</x:v>
      </x:c>
      <x:c r="AH157" s="73" t="str"/>
      <x:c r="AI157" s="73" t="str"/>
      <x:c r="AJ157" s="73" t="str"/>
      <x:c r="AK157" s="73" t="str">
        <x:v>SECONDARY REPORT</x:v>
      </x:c>
      <x:c r="AL157" s="73" t="str">
        <x:v>Paraphrase of the Stanford Encyclopedia’s scholarly summary: Longino argues that standpoint theory cannot provide a noncircular basis for deciding which standpoint has epistemic privilege.</x:v>
      </x:c>
      <x:c r="AM157" s="73" t="str">
        <x:v>Primary chapter locator needed</x:v>
      </x:c>
      <x:c r="AN157" s="73" t="str">
        <x:v>https://plato.stanford.edu/entries/feminism-epistemology/</x:v>
      </x:c>
      <x:c r="AO157" s="73" t="str"/>
      <x:c r="AP157" s="73" t="str">
        <x:v>Research team</x:v>
      </x:c>
      <x:c r="AQ157" s="73" t="str">
        <x:v>GORGONWARS-PREMISE-1.0</x:v>
      </x:c>
      <x:c r="AR157" s="73" t="str">
        <x:v>https://www.routledge.com/Feminist-Epistemologies/Alcoff-Potter/p/book/9780415904513</x:v>
      </x:c>
      <x:c r="AS157" s="82" t="str">
        <x:f>IF(A157="","",IF(OR(E157="NOT APPLICABLE",E157="PREMISES UNRESOLVED"),"N/A",IF(OR(AND(F157&lt;&gt;"NO EVIDENCE",F157&lt;&gt;"NOT APPLICABLE",OR(AG157="",AH157="",AI157="",AJ157="",AG157="SYSTEM INFERENCE",AG157="ABSTRACT ONLY",AG157="SECONDARY REPORT",AG157="UNVERIFIED",AI157="Exact locator needed",AI157="HAU forum framing; exact target locator needed",AI157="Forum exchange; exact locator needed")),AND(G157&lt;&gt;"NO EVIDENCE",G157&lt;&gt;"NOT APPLICABLE",OR(AK157="",AL157="",AM157="",AN157="",AK157="SYSTEM INFERENCE",AK157="ABSTRACT ONLY",AK157="SECONDARY REPORT",AK157="UNVERIFIED",AM157="Exact locator needed",AM157="HAU forum framing; exact target locator needed",AM157="Forum exchange; exact locator needed"))),"EVIDENCE DEBT","READY")))</x:f>
        <x:v>EVIDENCE DEBT</x:v>
      </x:c>
      <x:c r="AT157" s="74" t="str">
        <x:v>Added as a documented evidence-debt row.</x:v>
      </x:c>
    </x:row>
    <x:row r="158" ht="50" customHeight="1">
      <x:c r="A158" s="86" t="n">
        <x:v>153</x:v>
      </x:c>
      <x:c r="B158" s="76" t="str">
        <x:v>Needs full text</x:v>
      </x:c>
      <x:c r="C158" s="90" t="n">
        <x:v>4</x:v>
      </x:c>
      <x:c r="D158" s="82" t="str">
        <x:f>IF(C158="","",IFERROR(VLOOKUP(C158,'Database controls'!$A$5:$B$20,2,FALSE),"NEW / UNCATEGORIZED"))</x:f>
        <x:v>Testimony, belief, and epistemic authority</x:v>
      </x:c>
      <x:c r="E158" s="76" t="str">
        <x:v>OUTSIDE / EXCOMMUNICABLE</x:v>
      </x:c>
      <x:c r="F158" s="76" t="str">
        <x:v>NO EVIDENCE</x:v>
      </x:c>
      <x:c r="G158" s="76" t="str">
        <x:v>REJECTS</x:v>
      </x:c>
      <x:c r="H158" s="82" t="str">
        <x:f>IF(A158="","",IF(OR(F158="REJECTS",G158="REJECTS"),"OUTSIDE / EXCOMMUNICABLE",IF(AND(OR(F158="RETAINS",F158="RETAINS WITH QUALIFICATION"),OR(G158="RETAINS",G158="RETAINS WITH QUALIFICATION")),"INTERNAL GORGONWARS",IF(AND(F158="NOT APPLICABLE",G158="NOT APPLICABLE"),"NOT APPLICABLE","PREMISES UNRESOLVED"))))</x:f>
        <x:v>OUTSIDE / EXCOMMUNICABLE</x:v>
      </x:c>
      <x:c r="I158" s="82" t="str">
        <x:f>IF(A158="","",IF(E158=H158,"OK",IF(AO158&lt;&gt;"","OVERRIDDEN","REVIEW")))</x:f>
        <x:v>OK</x:v>
      </x:c>
      <x:c r="J158" s="76" t="str">
        <x:v>Historian’s critique of experience as foundational evidence</x:v>
      </x:c>
      <x:c r="K158" s="76" t="str">
        <x:v>Foundational antecedent</x:v>
      </x:c>
      <x:c r="L158" s="76" t="str">
        <x:v>Peer-reviewed journal article</x:v>
      </x:c>
      <x:c r="M158" s="76" t="str">
        <x:v>Peer-reviewed</x:v>
      </x:c>
      <x:c r="N158" s="90" t="n">
        <x:v>1991</x:v>
      </x:c>
      <x:c r="O158" s="76" t="str">
        <x:v>Joan W. Scott</x:v>
      </x:c>
      <x:c r="P158" s="76" t="str">
        <x:v>The Evidence of Experience</x:v>
      </x:c>
      <x:c r="Q158" s="76" t="str">
        <x:v>Critical Inquiry 17(4):773–797</x:v>
      </x:c>
      <x:c r="R158" s="76" t="str">
        <x:v>English</x:v>
      </x:c>
      <x:c r="S158" s="76" t="str">
        <x:v>Experience is evidence to be explained, not a transparent foundation that ends argument, because identities and what counts as experience are themselves historically produced.</x:v>
      </x:c>
      <x:c r="T158" s="76" t="str">
        <x:v>Rejects foundational authority for experience; it does not deny first-person reports or the relevance of social location.</x:v>
      </x:c>
      <x:c r="U158" s="76" t="str">
        <x:v>Secondary verification</x:v>
      </x:c>
      <x:c r="V158" s="76" t="str">
        <x:v>https://doi.org/10.1086/448612</x:v>
      </x:c>
      <x:c r="W158" s="76" t="str">
        <x:v>10.1086/448612</x:v>
      </x:c>
      <x:c r="X158" s="94" t="n">
        <x:v>46230</x:v>
      </x:c>
      <x:c r="Y158" s="94" t="n">
        <x:v>46230</x:v>
      </x:c>
      <x:c r="Z158" s="76" t="str"/>
      <x:c r="AA158" s="76" t="str"/>
      <x:c r="AB158" s="76" t="n">
        <x:v>153</x:v>
      </x:c>
      <x:c r="AC158" s="76" t="str">
        <x:v>FOUNDATIONAL ANTECEDENT</x:v>
      </x:c>
      <x:c r="AD158" s="76" t="str">
        <x:v>EXPLICIT CRITIQUE</x:v>
      </x:c>
      <x:c r="AE158" s="76" t="str">
        <x:v>NO</x:v>
      </x:c>
      <x:c r="AF158" s="76" t="str">
        <x:v>Experience as transparent, self-validating historical evidence</x:v>
      </x:c>
      <x:c r="AG158" s="76" t="str">
        <x:v>NO EVIDENCE</x:v>
      </x:c>
      <x:c r="AH158" s="76" t="str"/>
      <x:c r="AI158" s="76" t="str"/>
      <x:c r="AJ158" s="76" t="str"/>
      <x:c r="AK158" s="76" t="str">
        <x:v>SECONDARY REPORT</x:v>
      </x:c>
      <x:c r="AL158" s="76" t="str">
        <x:v>Paraphrase: Scott argues that experience must itself be historicized and explained rather than used as a foundation that authorizes identity claims.</x:v>
      </x:c>
      <x:c r="AM158" s="76" t="str">
        <x:v>pp. 773–797; exact primary quotation needed</x:v>
      </x:c>
      <x:c r="AN158" s="76" t="str">
        <x:v>https://doi.org/10.1086/448612</x:v>
      </x:c>
      <x:c r="AO158" s="76" t="str"/>
      <x:c r="AP158" s="76" t="str">
        <x:v>Research team</x:v>
      </x:c>
      <x:c r="AQ158" s="76" t="str">
        <x:v>GORGONWARS-PREMISE-1.0</x:v>
      </x:c>
      <x:c r="AR158" s="76" t="str"/>
      <x:c r="AS158" s="82" t="str">
        <x:f>IF(A158="","",IF(OR(E158="NOT APPLICABLE",E158="PREMISES UNRESOLVED"),"N/A",IF(OR(AND(F158&lt;&gt;"NO EVIDENCE",F158&lt;&gt;"NOT APPLICABLE",OR(AG158="",AH158="",AI158="",AJ158="",AG158="SYSTEM INFERENCE",AG158="ABSTRACT ONLY",AG158="SECONDARY REPORT",AG158="UNVERIFIED",AI158="Exact locator needed",AI158="HAU forum framing; exact target locator needed",AI158="Forum exchange; exact locator needed")),AND(G158&lt;&gt;"NO EVIDENCE",G158&lt;&gt;"NOT APPLICABLE",OR(AK158="",AL158="",AM158="",AN158="",AK158="SYSTEM INFERENCE",AK158="ABSTRACT ONLY",AK158="SECONDARY REPORT",AK158="UNVERIFIED",AM158="Exact locator needed",AM158="HAU forum framing; exact target locator needed",AM158="Forum exchange; exact locator needed"))),"EVIDENCE DEBT","READY")))</x:f>
        <x:v>EVIDENCE DEBT</x:v>
      </x:c>
      <x:c r="AT158" s="77" t="str">
        <x:v>Added with a full-text evidence debt.</x:v>
      </x:c>
    </x:row>
    <x:row r="159" ht="50" customHeight="1">
      <x:c r="A159" s="85" t="n">
        <x:v>154</x:v>
      </x:c>
      <x:c r="B159" s="73" t="str">
        <x:v>Active</x:v>
      </x:c>
      <x:c r="C159" s="89" t="n">
        <x:v>4</x:v>
      </x:c>
      <x:c r="D159" s="82" t="str">
        <x:f>IF(C159="","",IFERROR(VLOOKUP(C159,'Database controls'!$A$5:$B$20,2,FALSE),"NEW / UNCATEGORIZED"))</x:f>
        <x:v>Testimony, belief, and epistemic authority</x:v>
      </x:c>
      <x:c r="E159" s="73" t="str">
        <x:v>OUTSIDE / EXCOMMUNICABLE</x:v>
      </x:c>
      <x:c r="F159" s="73" t="str">
        <x:v>NO EVIDENCE</x:v>
      </x:c>
      <x:c r="G159" s="73" t="str">
        <x:v>REJECTS</x:v>
      </x:c>
      <x:c r="H159" s="82" t="str">
        <x:f>IF(A159="","",IF(OR(F159="REJECTS",G159="REJECTS"),"OUTSIDE / EXCOMMUNICABLE",IF(AND(OR(F159="RETAINS",F159="RETAINS WITH QUALIFICATION"),OR(G159="RETAINS",G159="RETAINS WITH QUALIFICATION")),"INTERNAL GORGONWARS",IF(AND(F159="NOT APPLICABLE",G159="NOT APPLICABLE"),"NOT APPLICABLE","PREMISES UNRESOLVED"))))</x:f>
        <x:v>OUTSIDE / EXCOMMUNICABLE</x:v>
      </x:c>
      <x:c r="I159" s="82" t="str">
        <x:f>IF(A159="","",IF(E159=H159,"OK",IF(AO159&lt;&gt;"","OVERRIDDEN","REVIEW")))</x:f>
        <x:v>OK</x:v>
      </x:c>
      <x:c r="J159" s="73" t="str">
        <x:v>Naturalist defense of objectivity against politicized epistemology</x:v>
      </x:c>
      <x:c r="K159" s="73" t="str">
        <x:v>Foundational antecedent</x:v>
      </x:c>
      <x:c r="L159" s="73" t="str">
        <x:v>Book chapter</x:v>
      </x:c>
      <x:c r="M159" s="73" t="str">
        <x:v>Unresolved</x:v>
      </x:c>
      <x:c r="N159" s="89" t="n">
        <x:v>2022</x:v>
      </x:c>
      <x:c r="O159" s="73" t="str">
        <x:v>Louise M. Antony</x:v>
      </x:c>
      <x:c r="P159" s="73" t="str">
        <x:v>Quine as Feminist: The Radical Import of Naturalized Epistemology</x:v>
      </x:c>
      <x:c r="Q159" s="73" t="str">
        <x:v>Only Natural: Gender, Knowledge, and Humankind, Oxford University Press</x:v>
      </x:c>
      <x:c r="R159" s="73" t="str">
        <x:v>English</x:v>
      </x:c>
      <x:c r="S159" s="73" t="str">
        <x:v>Feminists can expose bias without abandoning impartiality, objectivity, or evidence; making politics decide truth only recreates the bias problem in a new form.</x:v>
      </x:c>
      <x:c r="T159" s="73" t="str">
        <x:v>A general epistemology chapter, not a direct analysis of survivor testimony or #MeToo.</x:v>
      </x:c>
      <x:c r="U159" s="73" t="str">
        <x:v>Abstract only</x:v>
      </x:c>
      <x:c r="V159" s="73" t="str">
        <x:v>https://doi.org/10.1093/oso/9780190934361.003.0002</x:v>
      </x:c>
      <x:c r="W159" s="73" t="str">
        <x:v>10.1093/oso/9780190934361.003.0002</x:v>
      </x:c>
      <x:c r="X159" s="93" t="n">
        <x:v>46230</x:v>
      </x:c>
      <x:c r="Y159" s="93" t="n">
        <x:v>46230</x:v>
      </x:c>
      <x:c r="Z159" s="73" t="str"/>
      <x:c r="AA159" s="73" t="str"/>
      <x:c r="AB159" s="73" t="n">
        <x:v>154</x:v>
      </x:c>
      <x:c r="AC159" s="73" t="str">
        <x:v>FOUNDATIONAL ANTECEDENT</x:v>
      </x:c>
      <x:c r="AD159" s="73" t="str">
        <x:v>EXPLICIT CRITIQUE</x:v>
      </x:c>
      <x:c r="AE159" s="73" t="str">
        <x:v>NO</x:v>
      </x:c>
      <x:c r="AF159" s="73" t="str">
        <x:v>Feminist rejection of impartiality and objectivity</x:v>
      </x:c>
      <x:c r="AG159" s="73" t="str">
        <x:v>NO EVIDENCE</x:v>
      </x:c>
      <x:c r="AH159" s="73" t="str"/>
      <x:c r="AI159" s="73" t="str"/>
      <x:c r="AJ159" s="73" t="str"/>
      <x:c r="AK159" s="73" t="str">
        <x:v>DIRECT EXPLICIT</x:v>
      </x:c>
      <x:c r="AL159" s="73" t="str">
        <x:v>Paraphrase: Antony defends naturalized objectivity and argues that feminist inquiry need not make political identity an epistemic authority.</x:v>
      </x:c>
      <x:c r="AM159" s="73" t="str">
        <x:v>Chapter abstract</x:v>
      </x:c>
      <x:c r="AN159" s="73" t="str">
        <x:v>https://academic.oup.com/book/43809/chapter/369877396</x:v>
      </x:c>
      <x:c r="AO159" s="73" t="str"/>
      <x:c r="AP159" s="73" t="str">
        <x:v>Research team</x:v>
      </x:c>
      <x:c r="AQ159" s="73" t="str">
        <x:v>GORGONWARS-PREMISE-1.0</x:v>
      </x:c>
      <x:c r="AR159" s="73" t="str"/>
      <x:c r="AS159" s="82" t="str">
        <x:f>IF(A159="","",IF(OR(E159="NOT APPLICABLE",E159="PREMISES UNRESOLVED"),"N/A",IF(OR(AND(F159&lt;&gt;"NO EVIDENCE",F159&lt;&gt;"NOT APPLICABLE",OR(AG159="",AH159="",AI159="",AJ159="",AG159="SYSTEM INFERENCE",AG159="ABSTRACT ONLY",AG159="SECONDARY REPORT",AG159="UNVERIFIED",AI159="Exact locator needed",AI159="HAU forum framing; exact target locator needed",AI159="Forum exchange; exact locator needed")),AND(G159&lt;&gt;"NO EVIDENCE",G159&lt;&gt;"NOT APPLICABLE",OR(AK159="",AL159="",AM159="",AN159="",AK159="SYSTEM INFERENCE",AK159="ABSTRACT ONLY",AK159="SECONDARY REPORT",AK159="UNVERIFIED",AM159="Exact locator needed",AM159="HAU forum framing; exact target locator needed",AM159="Forum exchange; exact locator needed"))),"EVIDENCE DEBT","READY")))</x:f>
        <x:v>READY</x:v>
      </x:c>
      <x:c r="AT159" s="74" t="str">
        <x:v>Added in the feminist anti-standpoint antecedent branch.</x:v>
      </x:c>
    </x:row>
    <x:row r="160" ht="50" customHeight="1">
      <x:c r="A160" s="86" t="n">
        <x:v>155</x:v>
      </x:c>
      <x:c r="B160" s="76" t="str">
        <x:v>Active</x:v>
      </x:c>
      <x:c r="C160" s="90" t="n">
        <x:v>4</x:v>
      </x:c>
      <x:c r="D160" s="82" t="str">
        <x:f>IF(C160="","",IFERROR(VLOOKUP(C160,'Database controls'!$A$5:$B$20,2,FALSE),"NEW / UNCATEGORIZED"))</x:f>
        <x:v>Testimony, belief, and epistemic authority</x:v>
      </x:c>
      <x:c r="E160" s="76" t="str">
        <x:v>OUTSIDE / EXCOMMUNICABLE</x:v>
      </x:c>
      <x:c r="F160" s="76" t="str">
        <x:v>NO EVIDENCE</x:v>
      </x:c>
      <x:c r="G160" s="76" t="str">
        <x:v>REJECTS</x:v>
      </x:c>
      <x:c r="H160" s="82" t="str">
        <x:f>IF(A160="","",IF(OR(F160="REJECTS",G160="REJECTS"),"OUTSIDE / EXCOMMUNICABLE",IF(AND(OR(F160="RETAINS",F160="RETAINS WITH QUALIFICATION"),OR(G160="RETAINS",G160="RETAINS WITH QUALIFICATION")),"INTERNAL GORGONWARS",IF(AND(F160="NOT APPLICABLE",G160="NOT APPLICABLE"),"NOT APPLICABLE","PREMISES UNRESOLVED"))))</x:f>
        <x:v>OUTSIDE / EXCOMMUNICABLE</x:v>
      </x:c>
      <x:c r="I160" s="82" t="str">
        <x:f>IF(A160="","",IF(E160=H160,"OK",IF(AO160&lt;&gt;"","OVERRIDDEN","REVIEW")))</x:f>
        <x:v>OK</x:v>
      </x:c>
      <x:c r="J160" s="76" t="str">
        <x:v>Defense of epistemic individualism against identity authority</x:v>
      </x:c>
      <x:c r="K160" s="76" t="str">
        <x:v>Foundational antecedent</x:v>
      </x:c>
      <x:c r="L160" s="76" t="str">
        <x:v>Book chapter</x:v>
      </x:c>
      <x:c r="M160" s="76" t="str">
        <x:v>Unresolved</x:v>
      </x:c>
      <x:c r="N160" s="90" t="n">
        <x:v>2022</x:v>
      </x:c>
      <x:c r="O160" s="76" t="str">
        <x:v>Louise M. Antony</x:v>
      </x:c>
      <x:c r="P160" s="76" t="str">
        <x:v>Sisters, Please, I’d Rather Do It Myself: A Defense of Individualism in Feminist Epistemology</x:v>
      </x:c>
      <x:c r="Q160" s="76" t="str">
        <x:v>Only Natural: Gender, Knowledge, and Humankind, Oxford University Press</x:v>
      </x:c>
      <x:c r="R160" s="76" t="str">
        <x:v>English</x:v>
      </x:c>
      <x:c r="S160" s="76" t="str">
        <x:v>Social power shapes inquiry, but knowers still need individual reasons and evidence; group identity cannot replace a person’s responsibility for belief.</x:v>
      </x:c>
      <x:c r="T160" s="76" t="str">
        <x:v>A general defense of epistemic individualism, not an allegation-specific credibility rule.</x:v>
      </x:c>
      <x:c r="U160" s="76" t="str">
        <x:v>Abstract only</x:v>
      </x:c>
      <x:c r="V160" s="76" t="str">
        <x:v>https://doi.org/10.1093/oso/9780190934361.003.0003</x:v>
      </x:c>
      <x:c r="W160" s="76" t="str">
        <x:v>10.1093/oso/9780190934361.003.0003</x:v>
      </x:c>
      <x:c r="X160" s="94" t="n">
        <x:v>46230</x:v>
      </x:c>
      <x:c r="Y160" s="94" t="n">
        <x:v>46230</x:v>
      </x:c>
      <x:c r="Z160" s="76" t="str"/>
      <x:c r="AA160" s="76" t="str"/>
      <x:c r="AB160" s="76" t="n">
        <x:v>155</x:v>
      </x:c>
      <x:c r="AC160" s="76" t="str">
        <x:v>FOUNDATIONAL ANTECEDENT</x:v>
      </x:c>
      <x:c r="AD160" s="76" t="str">
        <x:v>EXPLICIT CRITIQUE</x:v>
      </x:c>
      <x:c r="AE160" s="76" t="str">
        <x:v>NO</x:v>
      </x:c>
      <x:c r="AF160" s="76" t="str">
        <x:v>Group identity as a substitute for individual epistemic responsibility</x:v>
      </x:c>
      <x:c r="AG160" s="76" t="str">
        <x:v>NO EVIDENCE</x:v>
      </x:c>
      <x:c r="AH160" s="76" t="str"/>
      <x:c r="AI160" s="76" t="str"/>
      <x:c r="AJ160" s="76" t="str"/>
      <x:c r="AK160" s="76" t="str">
        <x:v>DIRECT EXPLICIT</x:v>
      </x:c>
      <x:c r="AL160" s="76" t="str">
        <x:v>Paraphrase: The chapter defends individualist epistemic theses against social-feminist objections.</x:v>
      </x:c>
      <x:c r="AM160" s="76" t="str">
        <x:v>Chapter abstract</x:v>
      </x:c>
      <x:c r="AN160" s="76" t="str">
        <x:v>https://academic.oup.com/book/43809/chapter/369878663</x:v>
      </x:c>
      <x:c r="AO160" s="76" t="str"/>
      <x:c r="AP160" s="76" t="str">
        <x:v>Research team</x:v>
      </x:c>
      <x:c r="AQ160" s="76" t="str">
        <x:v>GORGONWARS-PREMISE-1.0</x:v>
      </x:c>
      <x:c r="AR160" s="76" t="str"/>
      <x:c r="AS160" s="82" t="str">
        <x:f>IF(A160="","",IF(OR(E160="NOT APPLICABLE",E160="PREMISES UNRESOLVED"),"N/A",IF(OR(AND(F160&lt;&gt;"NO EVIDENCE",F160&lt;&gt;"NOT APPLICABLE",OR(AG160="",AH160="",AI160="",AJ160="",AG160="SYSTEM INFERENCE",AG160="ABSTRACT ONLY",AG160="SECONDARY REPORT",AG160="UNVERIFIED",AI160="Exact locator needed",AI160="HAU forum framing; exact target locator needed",AI160="Forum exchange; exact locator needed")),AND(G160&lt;&gt;"NO EVIDENCE",G160&lt;&gt;"NOT APPLICABLE",OR(AK160="",AL160="",AM160="",AN160="",AK160="SYSTEM INFERENCE",AK160="ABSTRACT ONLY",AK160="SECONDARY REPORT",AK160="UNVERIFIED",AM160="Exact locator needed",AM160="HAU forum framing; exact target locator needed",AM160="Forum exchange; exact locator needed"))),"EVIDENCE DEBT","READY")))</x:f>
        <x:v>READY</x:v>
      </x:c>
      <x:c r="AT160" s="77" t="str">
        <x:v>Added in the feminist anti-standpoint antecedent branch.</x:v>
      </x:c>
    </x:row>
    <x:row r="161" ht="50" customHeight="1">
      <x:c r="A161" s="85" t="n">
        <x:v>156</x:v>
      </x:c>
      <x:c r="B161" s="73" t="str">
        <x:v>Active</x:v>
      </x:c>
      <x:c r="C161" s="89" t="n">
        <x:v>5</x:v>
      </x:c>
      <x:c r="D161" s="82" t="str">
        <x:f>IF(C161="","",IFERROR(VLOOKUP(C161,'Database controls'!$A$5:$B$20,2,FALSE),"NEW / UNCATEGORIZED"))</x:f>
        <x:v>Desire, agency, and sexual ambiguity</x:v>
      </x:c>
      <x:c r="E161" s="73" t="str">
        <x:v>PREMISES UNRESOLVED</x:v>
      </x:c>
      <x:c r="F161" s="73" t="str">
        <x:v>NO EVIDENCE</x:v>
      </x:c>
      <x:c r="G161" s="73" t="str">
        <x:v>NO EVIDENCE</x:v>
      </x:c>
      <x:c r="H161" s="82" t="str">
        <x:f>IF(A161="","",IF(OR(F161="REJECTS",G161="REJECTS"),"OUTSIDE / EXCOMMUNICABLE",IF(AND(OR(F161="RETAINS",F161="RETAINS WITH QUALIFICATION"),OR(G161="RETAINS",G161="RETAINS WITH QUALIFICATION")),"INTERNAL GORGONWARS",IF(AND(F161="NOT APPLICABLE",G161="NOT APPLICABLE"),"NOT APPLICABLE","PREMISES UNRESOLVED"))))</x:f>
        <x:v>PREMISES UNRESOLVED</x:v>
      </x:c>
      <x:c r="I161" s="82" t="str">
        <x:f>IF(A161="","",IF(E161=H161,"OK",IF(AO161&lt;&gt;"","OVERRIDDEN","REVIEW")))</x:f>
        <x:v>OK</x:v>
      </x:c>
      <x:c r="J161" s="73" t="str">
        <x:v>Empirical challenge to expansive philosophical consent theory</x:v>
      </x:c>
      <x:c r="K161" s="73" t="str">
        <x:v>Foundational antecedent</x:v>
      </x:c>
      <x:c r="L161" s="73" t="str">
        <x:v>Law review article</x:v>
      </x:c>
      <x:c r="M161" s="73" t="str">
        <x:v>Law review / editorial review</x:v>
      </x:c>
      <x:c r="N161" s="89" t="n">
        <x:v>2020</x:v>
      </x:c>
      <x:c r="O161" s="73" t="str">
        <x:v>Roseanna Sommers</x:v>
      </x:c>
      <x:c r="P161" s="73" t="str">
        <x:v>Commonsense Consent</x:v>
      </x:c>
      <x:c r="Q161" s="73" t="str">
        <x:v>Yale Law Journal 129</x:v>
      </x:c>
      <x:c r="R161" s="73" t="str">
        <x:v>English</x:v>
      </x:c>
      <x:c r="S161" s="73" t="str">
        <x:v>Ordinary people often regard consent as compatible with deception across sex and many nonsexual domains, revealing a major gap between lived judgment and dominant philosophical consent theories.</x:v>
      </x:c>
      <x:c r="T161" s="73" t="str">
        <x:v>Empirical counterevidence about consent concepts; it does not itself take a position on either foundational premise.</x:v>
      </x:c>
      <x:c r="U161" s="73" t="str">
        <x:v>Full text verified</x:v>
      </x:c>
      <x:c r="V161" s="73" t="str">
        <x:v>https://yalelawjournal.org/article/commonsense-consent</x:v>
      </x:c>
      <x:c r="W161" s="73" t="str"/>
      <x:c r="X161" s="93" t="n">
        <x:v>46230</x:v>
      </x:c>
      <x:c r="Y161" s="93" t="n">
        <x:v>46230</x:v>
      </x:c>
      <x:c r="Z161" s="73" t="str"/>
      <x:c r="AA161" s="73" t="str"/>
      <x:c r="AB161" s="73" t="n">
        <x:v>156</x:v>
      </x:c>
      <x:c r="AC161" s="73" t="str">
        <x:v>COUNTEREVIDENCE</x:v>
      </x:c>
      <x:c r="AD161" s="73" t="str">
        <x:v>NEUTRAL EMPIRICAL</x:v>
      </x:c>
      <x:c r="AE161" s="73" t="str">
        <x:v>NO</x:v>
      </x:c>
      <x:c r="AF161" s="73" t="str">
        <x:v>Mismatch between philosophical consent theories and ordinary judgment</x:v>
      </x:c>
      <x:c r="AG161" s="73" t="str">
        <x:v>NO EVIDENCE</x:v>
      </x:c>
      <x:c r="AH161" s="73" t="str"/>
      <x:c r="AI161" s="73" t="str"/>
      <x:c r="AJ161" s="73" t="str"/>
      <x:c r="AK161" s="73" t="str">
        <x:v>NO EVIDENCE</x:v>
      </x:c>
      <x:c r="AL161" s="73" t="str"/>
      <x:c r="AM161" s="73" t="str"/>
      <x:c r="AN161" s="73" t="str"/>
      <x:c r="AO161" s="73" t="str"/>
      <x:c r="AP161" s="73" t="str">
        <x:v>Research team</x:v>
      </x:c>
      <x:c r="AQ161" s="73" t="str">
        <x:v>GORGONWARS-PREMISE-1.0</x:v>
      </x:c>
      <x:c r="AR161" s="73" t="str"/>
      <x:c r="AS161" s="82" t="str">
        <x:f>IF(A161="","",IF(OR(E161="NOT APPLICABLE",E161="PREMISES UNRESOLVED"),"N/A",IF(OR(AND(F161&lt;&gt;"NO EVIDENCE",F161&lt;&gt;"NOT APPLICABLE",OR(AG161="",AH161="",AI161="",AJ161="",AG161="SYSTEM INFERENCE",AG161="ABSTRACT ONLY",AG161="SECONDARY REPORT",AG161="UNVERIFIED",AI161="Exact locator needed",AI161="HAU forum framing; exact target locator needed",AI161="Forum exchange; exact locator needed")),AND(G161&lt;&gt;"NO EVIDENCE",G161&lt;&gt;"NOT APPLICABLE",OR(AK161="",AL161="",AM161="",AN161="",AK161="SYSTEM INFERENCE",AK161="ABSTRACT ONLY",AK161="SECONDARY REPORT",AK161="UNVERIFIED",AM161="Exact locator needed",AM161="HAU forum framing; exact target locator needed",AM161="Forum exchange; exact locator needed"))),"EVIDENCE DEBT","READY")))</x:f>
        <x:v>N/A</x:v>
      </x:c>
      <x:c r="AT161" s="74" t="str">
        <x:v>Added as counterevidence without converting a consent finding into a premise verdict.</x:v>
      </x:c>
    </x:row>
    <x:row r="162" ht="50" customHeight="1">
      <x:c r="A162" s="86" t="n">
        <x:v>157</x:v>
      </x:c>
      <x:c r="B162" s="76" t="str">
        <x:v>Active</x:v>
      </x:c>
      <x:c r="C162" s="90" t="n">
        <x:v>5</x:v>
      </x:c>
      <x:c r="D162" s="82" t="str">
        <x:f>IF(C162="","",IFERROR(VLOOKUP(C162,'Database controls'!$A$5:$B$20,2,FALSE),"NEW / UNCATEGORIZED"))</x:f>
        <x:v>Desire, agency, and sexual ambiguity</x:v>
      </x:c>
      <x:c r="E162" s="76" t="str">
        <x:v>OUTSIDE / EXCOMMUNICABLE</x:v>
      </x:c>
      <x:c r="F162" s="76" t="str">
        <x:v>REJECTS</x:v>
      </x:c>
      <x:c r="G162" s="76" t="str">
        <x:v>NO EVIDENCE</x:v>
      </x:c>
      <x:c r="H162" s="82" t="str">
        <x:f>IF(A162="","",IF(OR(F162="REJECTS",G162="REJECTS"),"OUTSIDE / EXCOMMUNICABLE",IF(AND(OR(F162="RETAINS",F162="RETAINS WITH QUALIFICATION"),OR(G162="RETAINS",G162="RETAINS WITH QUALIFICATION")),"INTERNAL GORGONWARS",IF(AND(F162="NOT APPLICABLE",G162="NOT APPLICABLE"),"NOT APPLICABLE","PREMISES UNRESOLVED"))))</x:f>
        <x:v>OUTSIDE / EXCOMMUNICABLE</x:v>
      </x:c>
      <x:c r="I162" s="82" t="str">
        <x:f>IF(A162="","",IF(E162=H162,"OK",IF(AO162&lt;&gt;"","OVERRIDDEN","REVIEW")))</x:f>
        <x:v>OK</x:v>
      </x:c>
      <x:c r="J162" s="76" t="str">
        <x:v>Criminal-law boundary against treating all unconsented sex as rape</x:v>
      </x:c>
      <x:c r="K162" s="76" t="str">
        <x:v>Foundational antecedent</x:v>
      </x:c>
      <x:c r="L162" s="76" t="str">
        <x:v>Law review article</x:v>
      </x:c>
      <x:c r="M162" s="76" t="str">
        <x:v>Law review / editorial review</x:v>
      </x:c>
      <x:c r="N162" s="90" t="n">
        <x:v>2013</x:v>
      </x:c>
      <x:c r="O162" s="76" t="str">
        <x:v>Jed Rubenfeld</x:v>
      </x:c>
      <x:c r="P162" s="76" t="str">
        <x:v>The Riddle of Rape-by-Deception and the Myth of Sexual Autonomy</x:v>
      </x:c>
      <x:c r="Q162" s="76" t="str">
        <x:v>Yale Law Journal 122</x:v>
      </x:c>
      <x:c r="R162" s="76" t="str">
        <x:v>English</x:v>
      </x:c>
      <x:c r="S162" s="76" t="str">
        <x:v>If every material sexual deception invalidates consent, ordinary seduction becomes rape; criminal law therefore needs a narrower principle than total sexual autonomy.</x:v>
      </x:c>
      <x:c r="T162" s="76" t="str">
        <x:v>A criminal-law boundary argument, not a defense of coercion or a direct #MeToo critique.</x:v>
      </x:c>
      <x:c r="U162" s="76" t="str">
        <x:v>Full text verified</x:v>
      </x:c>
      <x:c r="V162" s="76" t="str">
        <x:v>https://yalelawjournal.org/article/the-riddle-of-rape-by-deception-and-the-myth-of-sexual-autonomy</x:v>
      </x:c>
      <x:c r="W162" s="76" t="str"/>
      <x:c r="X162" s="94" t="n">
        <x:v>46230</x:v>
      </x:c>
      <x:c r="Y162" s="94" t="n">
        <x:v>46230</x:v>
      </x:c>
      <x:c r="Z162" s="76" t="str"/>
      <x:c r="AA162" s="76" t="str"/>
      <x:c r="AB162" s="76" t="n">
        <x:v>157</x:v>
      </x:c>
      <x:c r="AC162" s="76" t="str">
        <x:v>FOUNDATIONAL ANTECEDENT</x:v>
      </x:c>
      <x:c r="AD162" s="76" t="str">
        <x:v>EXPLICIT CRITIQUE</x:v>
      </x:c>
      <x:c r="AE162" s="76" t="str">
        <x:v>NO</x:v>
      </x:c>
      <x:c r="AF162" s="76" t="str">
        <x:v>Criminalization of ordinary consensual sex through expansive autonomy theory</x:v>
      </x:c>
      <x:c r="AG162" s="76" t="str">
        <x:v>DIRECT EXPLICIT</x:v>
      </x:c>
      <x:c r="AH162" s="76" t="str">
        <x:v>Paraphrase: The article argues against defining rape as all unconsented sex and keeps ordinary private consensual sex outside criminal punishment.</x:v>
      </x:c>
      <x:c r="AI162" s="76" t="str">
        <x:v>Abstract and article introduction</x:v>
      </x:c>
      <x:c r="AJ162" s="76" t="str">
        <x:v>https://yalelawjournal.org/article/the-riddle-of-rape-by-deception-and-the-myth-of-sexual-autonomy</x:v>
      </x:c>
      <x:c r="AK162" s="76" t="str">
        <x:v>NO EVIDENCE</x:v>
      </x:c>
      <x:c r="AL162" s="76" t="str"/>
      <x:c r="AM162" s="76" t="str"/>
      <x:c r="AN162" s="76" t="str"/>
      <x:c r="AO162" s="76" t="str"/>
      <x:c r="AP162" s="76" t="str">
        <x:v>Research team</x:v>
      </x:c>
      <x:c r="AQ162" s="76" t="str">
        <x:v>GORGONWARS-PREMISE-1.0</x:v>
      </x:c>
      <x:c r="AR162" s="76" t="str"/>
      <x:c r="AS162" s="82" t="str">
        <x:f>IF(A162="","",IF(OR(E162="NOT APPLICABLE",E162="PREMISES UNRESOLVED"),"N/A",IF(OR(AND(F162&lt;&gt;"NO EVIDENCE",F162&lt;&gt;"NOT APPLICABLE",OR(AG162="",AH162="",AI162="",AJ162="",AG162="SYSTEM INFERENCE",AG162="ABSTRACT ONLY",AG162="SECONDARY REPORT",AG162="UNVERIFIED",AI162="Exact locator needed",AI162="HAU forum framing; exact target locator needed",AI162="Forum exchange; exact locator needed")),AND(G162&lt;&gt;"NO EVIDENCE",G162&lt;&gt;"NOT APPLICABLE",OR(AK162="",AL162="",AM162="",AN162="",AK162="SYSTEM INFERENCE",AK162="ABSTRACT ONLY",AK162="SECONDARY REPORT",AK162="UNVERIFIED",AM162="Exact locator needed",AM162="HAU forum framing; exact target locator needed",AM162="Forum exchange; exact locator needed"))),"EVIDENCE DEBT","READY")))</x:f>
        <x:v>READY</x:v>
      </x:c>
      <x:c r="AT162" s="77" t="str">
        <x:v>Added as a sexual-autonomy boundary antecedent.</x:v>
      </x:c>
    </x:row>
    <x:row r="163" ht="50" customHeight="1">
      <x:c r="A163" s="85" t="n">
        <x:v>158</x:v>
      </x:c>
      <x:c r="B163" s="73" t="str">
        <x:v>Active</x:v>
      </x:c>
      <x:c r="C163" s="89" t="n">
        <x:v>6</x:v>
      </x:c>
      <x:c r="D163" s="82" t="str">
        <x:f>IF(C163="","",IFERROR(VLOOKUP(C163,'Database controls'!$A$5:$B$20,2,FALSE),"NEW / UNCATEGORIZED"))</x:f>
        <x:v>Due process, punishment, and procedural limits</x:v>
      </x:c>
      <x:c r="E163" s="73" t="str">
        <x:v>OUTSIDE / EXCOMMUNICABLE</x:v>
      </x:c>
      <x:c r="F163" s="73" t="str">
        <x:v>REJECTS</x:v>
      </x:c>
      <x:c r="G163" s="73" t="str">
        <x:v>REJECTS</x:v>
      </x:c>
      <x:c r="H163" s="82" t="str">
        <x:f>IF(A163="","",IF(OR(F163="REJECTS",G163="REJECTS"),"OUTSIDE / EXCOMMUNICABLE",IF(AND(OR(F163="RETAINS",F163="RETAINS WITH QUALIFICATION"),OR(G163="RETAINS",G163="RETAINS WITH QUALIFICATION")),"INTERNAL GORGONWARS",IF(AND(F163="NOT APPLICABLE",G163="NOT APPLICABLE"),"NOT APPLICABLE","PREMISES UNRESOLVED"))))</x:f>
        <x:v>OUTSIDE / EXCOMMUNICABLE</x:v>
      </x:c>
      <x:c r="I163" s="82" t="str">
        <x:f>IF(A163="","",IF(E163=H163,"OK",IF(AO163&lt;&gt;"","OVERRIDDEN","REVIEW")))</x:f>
        <x:v>OK</x:v>
      </x:c>
      <x:c r="J163" s="73" t="str">
        <x:v>Judicial critique of trauma shortcuts and sexual normmaking by Title IX</x:v>
      </x:c>
      <x:c r="K163" s="73" t="str">
        <x:v>Foundational antecedent</x:v>
      </x:c>
      <x:c r="L163" s="73" t="str">
        <x:v>Law review article</x:v>
      </x:c>
      <x:c r="M163" s="73" t="str">
        <x:v>Law review / editorial review</x:v>
      </x:c>
      <x:c r="N163" s="89" t="n">
        <x:v>2016</x:v>
      </x:c>
      <x:c r="O163" s="73" t="str">
        <x:v>Nancy Gertner</x:v>
      </x:c>
      <x:c r="P163" s="73" t="str">
        <x:v>Complicated Process</x:v>
      </x:c>
      <x:c r="Q163" s="73" t="str">
        <x:v>Yale Law Journal Forum 125</x:v>
      </x:c>
      <x:c r="R163" s="73" t="str">
        <x:v>English</x:v>
      </x:c>
      <x:c r="S163" s="73" t="str">
        <x:v>Campus systems should support complainants without turning trauma theory into a credibility shield or letting Title IX bureaucracies invent and punish ordinary sexual norms.</x:v>
      </x:c>
      <x:c r="T163" s="73" t="str">
        <x:v>A legal-process critique of Title IX, not a rejection of all survivor support or institutional regulation.</x:v>
      </x:c>
      <x:c r="U163" s="73" t="str">
        <x:v>Full text verified</x:v>
      </x:c>
      <x:c r="V163" s="73" t="str">
        <x:v>https://yalelawjournal.org/essay/complicated-process</x:v>
      </x:c>
      <x:c r="W163" s="73" t="str"/>
      <x:c r="X163" s="93" t="n">
        <x:v>46230</x:v>
      </x:c>
      <x:c r="Y163" s="93" t="n">
        <x:v>46230</x:v>
      </x:c>
      <x:c r="Z163" s="73" t="str"/>
      <x:c r="AA163" s="73" t="str"/>
      <x:c r="AB163" s="73" t="n">
        <x:v>158</x:v>
      </x:c>
      <x:c r="AC163" s="73" t="str">
        <x:v>FOUNDATIONAL ANTECEDENT</x:v>
      </x:c>
      <x:c r="AD163" s="73" t="str">
        <x:v>EXPLICIT CRITIQUE</x:v>
      </x:c>
      <x:c r="AE163" s="73" t="str">
        <x:v>NO</x:v>
      </x:c>
      <x:c r="AF163" s="73" t="str">
        <x:v>Sex bureaucracy and trauma-based immunity from credibility testing</x:v>
      </x:c>
      <x:c r="AG163" s="73" t="str">
        <x:v>DIRECT ENTAILMENT</x:v>
      </x:c>
      <x:c r="AH163" s="73" t="str">
        <x:v>Paraphrase: Title IX cannot legitimately generate comprehensive sexual norms or regulate ordinary sex through a campus sex bureaucracy.</x:v>
      </x:c>
      <x:c r="AI163" s="73" t="str">
        <x:v>Essay sections on sex bureaucracy and sexual normmaking</x:v>
      </x:c>
      <x:c r="AJ163" s="73" t="str">
        <x:v>https://yalelawjournal.org/essay/complicated-process</x:v>
      </x:c>
      <x:c r="AK163" s="73" t="str">
        <x:v>DIRECT ENTAILMENT</x:v>
      </x:c>
      <x:c r="AL163" s="73" t="str">
        <x:v>Paraphrase: Trauma explanations may fit both true and unreliable accounts and cannot make credibility criticism inadmissible.</x:v>
      </x:c>
      <x:c r="AM163" s="73" t="str">
        <x:v>Essay discussion of trauma and credibility</x:v>
      </x:c>
      <x:c r="AN163" s="73" t="str">
        <x:v>https://yalelawjournal.org/essay/complicated-process</x:v>
      </x:c>
      <x:c r="AO163" s="73" t="str"/>
      <x:c r="AP163" s="73" t="str">
        <x:v>Research team</x:v>
      </x:c>
      <x:c r="AQ163" s="73" t="str">
        <x:v>GORGONWARS-PREMISE-1.0</x:v>
      </x:c>
      <x:c r="AR163" s="73" t="str"/>
      <x:c r="AS163" s="82" t="str">
        <x:f>IF(A163="","",IF(OR(E163="NOT APPLICABLE",E163="PREMISES UNRESOLVED"),"N/A",IF(OR(AND(F163&lt;&gt;"NO EVIDENCE",F163&lt;&gt;"NOT APPLICABLE",OR(AG163="",AH163="",AI163="",AJ163="",AG163="SYSTEM INFERENCE",AG163="ABSTRACT ONLY",AG163="SECONDARY REPORT",AG163="UNVERIFIED",AI163="Exact locator needed",AI163="HAU forum framing; exact target locator needed",AI163="Forum exchange; exact locator needed")),AND(G163&lt;&gt;"NO EVIDENCE",G163&lt;&gt;"NOT APPLICABLE",OR(AK163="",AL163="",AM163="",AN163="",AK163="SYSTEM INFERENCE",AK163="ABSTRACT ONLY",AK163="SECONDARY REPORT",AK163="UNVERIFIED",AM163="Exact locator needed",AM163="HAU forum framing; exact target locator needed",AM163="Forum exchange; exact locator needed"))),"EVIDENCE DEBT","READY")))</x:f>
        <x:v>READY</x:v>
      </x:c>
      <x:c r="AT163" s="74" t="str">
        <x:v>Added in the legal boundary and epistemic-shortcut branch.</x:v>
      </x:c>
    </x:row>
    <x:row r="164" ht="50" customHeight="1">
      <x:c r="A164" s="86" t="n">
        <x:v>159</x:v>
      </x:c>
      <x:c r="B164" s="76" t="str">
        <x:v>Active</x:v>
      </x:c>
      <x:c r="C164" s="90" t="n">
        <x:v>4</x:v>
      </x:c>
      <x:c r="D164" s="82" t="str">
        <x:f>IF(C164="","",IFERROR(VLOOKUP(C164,'Database controls'!$A$5:$B$20,2,FALSE),"NEW / UNCATEGORIZED"))</x:f>
        <x:v>Testimony, belief, and epistemic authority</x:v>
      </x:c>
      <x:c r="E164" s="76" t="str">
        <x:v>PREMISES UNRESOLVED</x:v>
      </x:c>
      <x:c r="F164" s="76" t="str">
        <x:v>NO EVIDENCE</x:v>
      </x:c>
      <x:c r="G164" s="76" t="str">
        <x:v>RETAINS WITH QUALIFICATION</x:v>
      </x:c>
      <x:c r="H164" s="82" t="str">
        <x:f>IF(A164="","",IF(OR(F164="REJECTS",G164="REJECTS"),"OUTSIDE / EXCOMMUNICABLE",IF(AND(OR(F164="RETAINS",F164="RETAINS WITH QUALIFICATION"),OR(G164="RETAINS",G164="RETAINS WITH QUALIFICATION")),"INTERNAL GORGONWARS",IF(AND(F164="NOT APPLICABLE",G164="NOT APPLICABLE"),"NOT APPLICABLE","PREMISES UNRESOLVED"))))</x:f>
        <x:v>PREMISES UNRESOLVED</x:v>
      </x:c>
      <x:c r="I164" s="82" t="str">
        <x:f>IF(A164="","",IF(E164=H164,"OK",IF(AO164&lt;&gt;"","OVERRIDDEN","REVIEW")))</x:f>
        <x:v>OK</x:v>
      </x:c>
      <x:c r="J164" s="76" t="str">
        <x:v>Internal standpoint-theory control distinguishing privilege from authority</x:v>
      </x:c>
      <x:c r="K164" s="76" t="str">
        <x:v>Foundational antecedent</x:v>
      </x:c>
      <x:c r="L164" s="76" t="str">
        <x:v>Peer-reviewed journal article</x:v>
      </x:c>
      <x:c r="M164" s="76" t="str">
        <x:v>Peer-reviewed</x:v>
      </x:c>
      <x:c r="N164" s="90" t="n">
        <x:v>1997</x:v>
      </x:c>
      <x:c r="O164" s="76" t="str">
        <x:v>Marianne Janack</x:v>
      </x:c>
      <x:c r="P164" s="76" t="str">
        <x:v>Standpoint Epistemology Without the ‘Standpoint’?: An Examination of Epistemic Privilege and Epistemic Authority</x:v>
      </x:c>
      <x:c r="Q164" s="76" t="str">
        <x:v>Hypatia 12(2):125–139</x:v>
      </x:c>
      <x:c r="R164" s="76" t="str">
        <x:v>English</x:v>
      </x:c>
      <x:c r="S164" s="76" t="str">
        <x:v>Automatic epistemic privilege is elusive, but feminist standpoint theory can preserve a distinct claim of epistemic authority.</x:v>
      </x:c>
      <x:c r="T164" s="76" t="str">
        <x:v>This is not an anti-standpoint source: it expressly treats epistemic authority as important to a successful standpoint project.</x:v>
      </x:c>
      <x:c r="U164" s="76" t="str">
        <x:v>Abstract only</x:v>
      </x:c>
      <x:c r="V164" s="76" t="str">
        <x:v>https://doi.org/10.1111/j.1527-2001.1997.tb00022.x</x:v>
      </x:c>
      <x:c r="W164" s="76" t="str">
        <x:v>10.1111/j.1527-2001.1997.tb00022.x</x:v>
      </x:c>
      <x:c r="X164" s="94" t="n">
        <x:v>46230</x:v>
      </x:c>
      <x:c r="Y164" s="94" t="n">
        <x:v>46230</x:v>
      </x:c>
      <x:c r="Z164" s="76" t="str"/>
      <x:c r="AA164" s="76" t="str"/>
      <x:c r="AB164" s="76" t="n">
        <x:v>159</x:v>
      </x:c>
      <x:c r="AC164" s="76" t="str">
        <x:v>COUNTEREVIDENCE</x:v>
      </x:c>
      <x:c r="AD164" s="76" t="str">
        <x:v>MECHANISM / ADJACENT</x:v>
      </x:c>
      <x:c r="AE164" s="76" t="str">
        <x:v>NO</x:v>
      </x:c>
      <x:c r="AF164" s="76" t="str">
        <x:v>Difference between standpoint privilege and standpoint authority</x:v>
      </x:c>
      <x:c r="AG164" s="76" t="str">
        <x:v>NO EVIDENCE</x:v>
      </x:c>
      <x:c r="AH164" s="76" t="str"/>
      <x:c r="AI164" s="76" t="str"/>
      <x:c r="AJ164" s="76" t="str"/>
      <x:c r="AK164" s="76" t="str">
        <x:v>DIRECT EXPLICIT</x:v>
      </x:c>
      <x:c r="AL164" s="76" t="str">
        <x:v>Paraphrase: Janack calls epistemic privilege elusive but says epistemic authority is important for a successful feminist standpoint project.</x:v>
      </x:c>
      <x:c r="AM164" s="76" t="str">
        <x:v>Abstract</x:v>
      </x:c>
      <x:c r="AN164" s="76" t="str">
        <x:v>https://www.cambridge.org/core/journals/hypatia/article/standpoint-epistemology-without-the-standpoint-an-examination-of-epistemic-privilege-and-epistemic-authority/29233B07843DE012958CE66F97DEFAE3</x:v>
      </x:c>
      <x:c r="AO164" s="76" t="str"/>
      <x:c r="AP164" s="76" t="str">
        <x:v>Research team</x:v>
      </x:c>
      <x:c r="AQ164" s="76" t="str">
        <x:v>GORGONWARS-PREMISE-1.0</x:v>
      </x:c>
      <x:c r="AR164" s="76" t="str"/>
      <x:c r="AS164" s="82" t="str">
        <x:f>IF(A164="","",IF(OR(E164="NOT APPLICABLE",E164="PREMISES UNRESOLVED"),"N/A",IF(OR(AND(F164&lt;&gt;"NO EVIDENCE",F164&lt;&gt;"NOT APPLICABLE",OR(AG164="",AH164="",AI164="",AJ164="",AG164="SYSTEM INFERENCE",AG164="ABSTRACT ONLY",AG164="SECONDARY REPORT",AG164="UNVERIFIED",AI164="Exact locator needed",AI164="HAU forum framing; exact target locator needed",AI164="Forum exchange; exact locator needed")),AND(G164&lt;&gt;"NO EVIDENCE",G164&lt;&gt;"NOT APPLICABLE",OR(AK164="",AL164="",AM164="",AN164="",AK164="SYSTEM INFERENCE",AK164="ABSTRACT ONLY",AK164="SECONDARY REPORT",AK164="UNVERIFIED",AM164="Exact locator needed",AM164="HAU forum framing; exact target locator needed",AM164="Forum exchange; exact locator needed"))),"EVIDENCE DEBT","READY")))</x:f>
        <x:v>N/A</x:v>
      </x:c>
      <x:c r="AT164" s="77" t="str">
        <x:v>Added as an anti-TWIST control; criticism of privilege is not automatically rejection of standpoint authority.</x:v>
      </x:c>
    </x:row>
    <x:row r="165" ht="50" customHeight="1">
      <x:c r="A165" s="85" t="n">
        <x:v>160</x:v>
      </x:c>
      <x:c r="B165" s="73" t="str">
        <x:v>Active</x:v>
      </x:c>
      <x:c r="C165" s="89" t="n">
        <x:v>4</x:v>
      </x:c>
      <x:c r="D165" s="82" t="str">
        <x:f>IF(C165="","",IFERROR(VLOOKUP(C165,'Database controls'!$A$5:$B$20,2,FALSE),"NEW / UNCATEGORIZED"))</x:f>
        <x:v>Testimony, belief, and epistemic authority</x:v>
      </x:c>
      <x:c r="E165" s="73" t="str">
        <x:v>PREMISES UNRESOLVED</x:v>
      </x:c>
      <x:c r="F165" s="73" t="str">
        <x:v>NO EVIDENCE</x:v>
      </x:c>
      <x:c r="G165" s="73" t="str">
        <x:v>RETAINS WITH QUALIFICATION</x:v>
      </x:c>
      <x:c r="H165" s="82" t="str">
        <x:f>IF(A165="","",IF(OR(F165="REJECTS",G165="REJECTS"),"OUTSIDE / EXCOMMUNICABLE",IF(AND(OR(F165="RETAINS",F165="RETAINS WITH QUALIFICATION"),OR(G165="RETAINS",G165="RETAINS WITH QUALIFICATION")),"INTERNAL GORGONWARS",IF(AND(F165="NOT APPLICABLE",G165="NOT APPLICABLE"),"NOT APPLICABLE","PREMISES UNRESOLVED"))))</x:f>
        <x:v>PREMISES UNRESOLVED</x:v>
      </x:c>
      <x:c r="I165" s="82" t="str">
        <x:f>IF(A165="","",IF(E165=H165,"OK",IF(AO165&lt;&gt;"","OVERRIDDEN","REVIEW")))</x:f>
        <x:v>OK</x:v>
      </x:c>
      <x:c r="J165" s="73" t="str">
        <x:v>Contemporary defense of standpoint privilege</x:v>
      </x:c>
      <x:c r="K165" s="73" t="str">
        <x:v>Foundational antecedent</x:v>
      </x:c>
      <x:c r="L165" s="73" t="str">
        <x:v>Peer-reviewed journal article</x:v>
      </x:c>
      <x:c r="M165" s="73" t="str">
        <x:v>Peer-reviewed</x:v>
      </x:c>
      <x:c r="N165" s="89" t="n">
        <x:v>2024</x:v>
      </x:c>
      <x:c r="O165" s="73" t="str">
        <x:v>Briana Toole</x:v>
      </x:c>
      <x:c r="P165" s="73" t="str">
        <x:v>Standpoint Epistemology and Epistemic Peerhood: A Defense of Epistemic Privilege</x:v>
      </x:c>
      <x:c r="Q165" s="73" t="str">
        <x:v>Journal of the American Philosophical Association 10(3):409–426</x:v>
      </x:c>
      <x:c r="R165" s="73" t="str">
        <x:v>English</x:v>
      </x:c>
      <x:c r="S165" s="73" t="str">
        <x:v>Marginalization does not automatically guarantee better knowledge, but it can generate epistemic advantages and trained standpoints analogous to expertise.</x:v>
      </x:c>
      <x:c r="T165" s="73" t="str">
        <x:v>A direct defense, not a critique; retained to prevent a scanner from labeling every qualification as rejection.</x:v>
      </x:c>
      <x:c r="U165" s="73" t="str">
        <x:v>Full text verified</x:v>
      </x:c>
      <x:c r="V165" s="73" t="str">
        <x:v>https://doi.org/10.1017/apa.2023.6</x:v>
      </x:c>
      <x:c r="W165" s="73" t="str">
        <x:v>10.1017/apa.2023.6</x:v>
      </x:c>
      <x:c r="X165" s="93" t="n">
        <x:v>46230</x:v>
      </x:c>
      <x:c r="Y165" s="93" t="n">
        <x:v>46230</x:v>
      </x:c>
      <x:c r="Z165" s="73" t="str"/>
      <x:c r="AA165" s="73" t="str"/>
      <x:c r="AB165" s="73" t="n">
        <x:v>160</x:v>
      </x:c>
      <x:c r="AC165" s="73" t="str">
        <x:v>COUNTEREVIDENCE</x:v>
      </x:c>
      <x:c r="AD165" s="73" t="str">
        <x:v>DEFENSE</x:v>
      </x:c>
      <x:c r="AE165" s="73" t="str">
        <x:v>NO</x:v>
      </x:c>
      <x:c r="AF165" s="73" t="str">
        <x:v>Clarification and defense of epistemic privilege</x:v>
      </x:c>
      <x:c r="AG165" s="73" t="str">
        <x:v>NO EVIDENCE</x:v>
      </x:c>
      <x:c r="AH165" s="73" t="str"/>
      <x:c r="AI165" s="73" t="str"/>
      <x:c r="AJ165" s="73" t="str"/>
      <x:c r="AK165" s="73" t="str">
        <x:v>DIRECT EXPLICIT</x:v>
      </x:c>
      <x:c r="AL165" s="73" t="str">
        <x:v>Paraphrase: The article defends epistemic advantage and standpoint claims while denying that marginalization alone is sufficient for privilege.</x:v>
      </x:c>
      <x:c r="AM165" s="73" t="str">
        <x:v>Abstract</x:v>
      </x:c>
      <x:c r="AN165" s="73" t="str">
        <x:v>https://www.cambridge.org/core/journals/journal-of-the-american-philosophical-association/article/standpoint-epistemology-and-epistemic-peerhood-a-defense-of-epistemic-privilege/137C3ABD67E82523A409A1960A230790</x:v>
      </x:c>
      <x:c r="AO165" s="73" t="str"/>
      <x:c r="AP165" s="73" t="str">
        <x:v>Research team</x:v>
      </x:c>
      <x:c r="AQ165" s="73" t="str">
        <x:v>GORGONWARS-PREMISE-1.0</x:v>
      </x:c>
      <x:c r="AR165" s="73" t="str"/>
      <x:c r="AS165" s="82" t="str">
        <x:f>IF(A165="","",IF(OR(E165="NOT APPLICABLE",E165="PREMISES UNRESOLVED"),"N/A",IF(OR(AND(F165&lt;&gt;"NO EVIDENCE",F165&lt;&gt;"NOT APPLICABLE",OR(AG165="",AH165="",AI165="",AJ165="",AG165="SYSTEM INFERENCE",AG165="ABSTRACT ONLY",AG165="SECONDARY REPORT",AG165="UNVERIFIED",AI165="Exact locator needed",AI165="HAU forum framing; exact target locator needed",AI165="Forum exchange; exact locator needed")),AND(G165&lt;&gt;"NO EVIDENCE",G165&lt;&gt;"NOT APPLICABLE",OR(AK165="",AL165="",AM165="",AN165="",AK165="SYSTEM INFERENCE",AK165="ABSTRACT ONLY",AK165="SECONDARY REPORT",AK165="UNVERIFIED",AM165="Exact locator needed",AM165="HAU forum framing; exact target locator needed",AM165="Forum exchange; exact locator needed"))),"EVIDENCE DEBT","READY")))</x:f>
        <x:v>N/A</x:v>
      </x:c>
      <x:c r="AT165" s="74" t="str">
        <x:v>Added as a defense control.</x:v>
      </x:c>
    </x:row>
    <x:row r="166" ht="50" customHeight="1">
      <x:c r="A166" s="86" t="n">
        <x:v>161</x:v>
      </x:c>
      <x:c r="B166" s="76" t="str">
        <x:v>Needs full text</x:v>
      </x:c>
      <x:c r="C166" s="90" t="n">
        <x:v>5</x:v>
      </x:c>
      <x:c r="D166" s="82" t="str">
        <x:f>IF(C166="","",IFERROR(VLOOKUP(C166,'Database controls'!$A$5:$B$20,2,FALSE),"NEW / UNCATEGORIZED"))</x:f>
        <x:v>Desire, agency, and sexual ambiguity</x:v>
      </x:c>
      <x:c r="E166" s="76" t="str">
        <x:v>OUTSIDE / EXCOMMUNICABLE</x:v>
      </x:c>
      <x:c r="F166" s="76" t="str">
        <x:v>REJECTS</x:v>
      </x:c>
      <x:c r="G166" s="76" t="str">
        <x:v>NO EVIDENCE</x:v>
      </x:c>
      <x:c r="H166" s="82" t="str">
        <x:f>IF(A166="","",IF(OR(F166="REJECTS",G166="REJECTS"),"OUTSIDE / EXCOMMUNICABLE",IF(AND(OR(F166="RETAINS",F166="RETAINS WITH QUALIFICATION"),OR(G166="RETAINS",G166="RETAINS WITH QUALIFICATION")),"INTERNAL GORGONWARS",IF(AND(F166="NOT APPLICABLE",G166="NOT APPLICABLE"),"NOT APPLICABLE","PREMISES UNRESOLVED"))))</x:f>
        <x:v>OUTSIDE / EXCOMMUNICABLE</x:v>
      </x:c>
      <x:c r="I166" s="82" t="str">
        <x:f>IF(A166="","",IF(E166=H166,"OK",IF(AO166&lt;&gt;"","OVERRIDDEN","REVIEW")))</x:f>
        <x:v>OK</x:v>
      </x:c>
      <x:c r="J166" s="76" t="str">
        <x:v>Direct immanent critique of #MeToo’s carceral disgust logic</x:v>
      </x:c>
      <x:c r="K166" s="76" t="str">
        <x:v>Direct #MeToo critique</x:v>
      </x:c>
      <x:c r="L166" s="76" t="str">
        <x:v>Peer-reviewed journal article</x:v>
      </x:c>
      <x:c r="M166" s="76" t="str">
        <x:v>Peer-reviewed</x:v>
      </x:c>
      <x:c r="N166" s="90" t="n">
        <x:v>2022</x:v>
      </x:c>
      <x:c r="O166" s="76" t="str">
        <x:v>Mairead Sullivan</x:v>
      </x:c>
      <x:c r="P166" s="76" t="str">
        <x:v>Grossed Out: The Carceral Logics of Disgust and the Demands of #MeToo</x:v>
      </x:c>
      <x:c r="Q166" s="76" t="str">
        <x:v>Signs 48(1):77–95</x:v>
      </x:c>
      <x:c r="R166" s="76" t="str">
        <x:v>English</x:v>
      </x:c>
      <x:c r="S166" s="76" t="str">
        <x:v>Disgust turns sexual politics into moral boundary-policing that marks abnormal people for exclusion and expands surveillance, so #MeToo must not let repulsion decide punishment.</x:v>
      </x:c>
      <x:c r="T166" s="76" t="str">
        <x:v>An immanent feminist critique that rejects carceral public adjudication; the present evidence is the publisher abstract, not a full-text premise audit.</x:v>
      </x:c>
      <x:c r="U166" s="76" t="str">
        <x:v>Abstract only</x:v>
      </x:c>
      <x:c r="V166" s="76" t="str">
        <x:v>https://doi.org/10.1086/720427</x:v>
      </x:c>
      <x:c r="W166" s="76" t="str">
        <x:v>10.1086/720427</x:v>
      </x:c>
      <x:c r="X166" s="94" t="n">
        <x:v>46230</x:v>
      </x:c>
      <x:c r="Y166" s="94" t="n">
        <x:v>46230</x:v>
      </x:c>
      <x:c r="Z166" s="76" t="str"/>
      <x:c r="AA166" s="76" t="str"/>
      <x:c r="AB166" s="76" t="n">
        <x:v>161</x:v>
      </x:c>
      <x:c r="AC166" s="76" t="str">
        <x:v>DIRECT OUTSIDE CRITIQUE</x:v>
      </x:c>
      <x:c r="AD166" s="76" t="str">
        <x:v>MIXED / QUALIFIED CRITIQUE</x:v>
      </x:c>
      <x:c r="AE166" s="76" t="str">
        <x:v>YES</x:v>
      </x:c>
      <x:c r="AF166" s="76" t="str">
        <x:v>Disgust as carceral moral adjudication</x:v>
      </x:c>
      <x:c r="AG166" s="76" t="str">
        <x:v>ABSTRACT ONLY</x:v>
      </x:c>
      <x:c r="AH166" s="76" t="str">
        <x:v>Paraphrase: The article treats disgust as a moralizing social boundary that fails marginalized groups and can widen criminal surveillance and sexual panic.</x:v>
      </x:c>
      <x:c r="AI166" s="76" t="str">
        <x:v>Publisher abstract</x:v>
      </x:c>
      <x:c r="AJ166" s="76" t="str">
        <x:v>https://www.journals.uchicago.edu/doi/abs/10.1086/720427</x:v>
      </x:c>
      <x:c r="AK166" s="76" t="str">
        <x:v>NO EVIDENCE</x:v>
      </x:c>
      <x:c r="AL166" s="76" t="str"/>
      <x:c r="AM166" s="76" t="str"/>
      <x:c r="AN166" s="76" t="str"/>
      <x:c r="AO166" s="76" t="str"/>
      <x:c r="AP166" s="76" t="str">
        <x:v>Research team</x:v>
      </x:c>
      <x:c r="AQ166" s="76" t="str">
        <x:v>GORGONWARS-PREMISE-1.0</x:v>
      </x:c>
      <x:c r="AR166" s="76" t="str"/>
      <x:c r="AS166" s="82" t="str">
        <x:f>IF(A166="","",IF(OR(E166="NOT APPLICABLE",E166="PREMISES UNRESOLVED"),"N/A",IF(OR(AND(F166&lt;&gt;"NO EVIDENCE",F166&lt;&gt;"NOT APPLICABLE",OR(AG166="",AH166="",AI166="",AJ166="",AG166="SYSTEM INFERENCE",AG166="ABSTRACT ONLY",AG166="SECONDARY REPORT",AG166="UNVERIFIED",AI166="Exact locator needed",AI166="HAU forum framing; exact target locator needed",AI166="Forum exchange; exact locator needed")),AND(G166&lt;&gt;"NO EVIDENCE",G166&lt;&gt;"NOT APPLICABLE",OR(AK166="",AL166="",AM166="",AN166="",AK166="SYSTEM INFERENCE",AK166="ABSTRACT ONLY",AK166="SECONDARY REPORT",AK166="UNVERIFIED",AM166="Exact locator needed",AM166="HAU forum framing; exact target locator needed",AM166="Forum exchange; exact locator needed"))),"EVIDENCE DEBT","READY")))</x:f>
        <x:v>EVIDENCE DEBT</x:v>
      </x:c>
      <x:c r="AT166" s="77" t="str">
        <x:v>Added as an outside candidate with abstract-level evidence debt.</x:v>
      </x:c>
    </x:row>
    <x:row r="167" ht="50" customHeight="1">
      <x:c r="A167" s="85" t="n">
        <x:v>162</x:v>
      </x:c>
      <x:c r="B167" s="73" t="str">
        <x:v>Needs full text</x:v>
      </x:c>
      <x:c r="C167" s="89" t="n">
        <x:v>4</x:v>
      </x:c>
      <x:c r="D167" s="82" t="str">
        <x:f>IF(C167="","",IFERROR(VLOOKUP(C167,'Database controls'!$A$5:$B$20,2,FALSE),"NEW / UNCATEGORIZED"))</x:f>
        <x:v>Testimony, belief, and epistemic authority</x:v>
      </x:c>
      <x:c r="E167" s="73" t="str">
        <x:v>PREMISES UNRESOLVED</x:v>
      </x:c>
      <x:c r="F167" s="73" t="str">
        <x:v>NO EVIDENCE</x:v>
      </x:c>
      <x:c r="G167" s="73" t="str">
        <x:v>NO EVIDENCE</x:v>
      </x:c>
      <x:c r="H167" s="82" t="str">
        <x:f>IF(A167="","",IF(OR(F167="REJECTS",G167="REJECTS"),"OUTSIDE / EXCOMMUNICABLE",IF(AND(OR(F167="RETAINS",F167="RETAINS WITH QUALIFICATION"),OR(G167="RETAINS",G167="RETAINS WITH QUALIFICATION")),"INTERNAL GORGONWARS",IF(AND(F167="NOT APPLICABLE",G167="NOT APPLICABLE"),"NOT APPLICABLE","PREMISES UNRESOLVED"))))</x:f>
        <x:v>PREMISES UNRESOLVED</x:v>
      </x:c>
      <x:c r="I167" s="82" t="str">
        <x:f>IF(A167="","",IF(E167=H167,"OK",IF(AO167&lt;&gt;"","OVERRIDDEN","REVIEW")))</x:f>
        <x:v>OK</x:v>
      </x:c>
      <x:c r="J167" s="73" t="str">
        <x:v>Internal critique of compulsory survivor identity</x:v>
      </x:c>
      <x:c r="K167" s="73" t="str">
        <x:v>Direct #MeToo critique</x:v>
      </x:c>
      <x:c r="L167" s="73" t="str">
        <x:v>Peer-reviewed journal article</x:v>
      </x:c>
      <x:c r="M167" s="73" t="str">
        <x:v>Peer-reviewed</x:v>
      </x:c>
      <x:c r="N167" s="89" t="n">
        <x:v>2022</x:v>
      </x:c>
      <x:c r="O167" s="73" t="str">
        <x:v>Lily Kay Ross</x:v>
      </x:c>
      <x:c r="P167" s="73" t="str">
        <x:v>The Survivor Imperative</x:v>
      </x:c>
      <x:c r="Q167" s="73" t="str">
        <x:v>Signs 48(1)</x:v>
      </x:c>
      <x:c r="R167" s="73" t="str">
        <x:v>English</x:v>
      </x:c>
      <x:c r="S167" s="73" t="str">
        <x:v>A public script that requires harmed people to become recognizable survivors can overwrite their own meanings, politics, and ways of living after harm.</x:v>
      </x:c>
      <x:c r="T167" s="73" t="str">
        <x:v>Critiques compulsory victim identity while explicitly using experience and feminist structural analysis; the available evidence does not establish rejection of either root.</x:v>
      </x:c>
      <x:c r="U167" s="73" t="str">
        <x:v>Abstract only</x:v>
      </x:c>
      <x:c r="V167" s="73" t="str">
        <x:v>https://doi.org/10.1086/720413</x:v>
      </x:c>
      <x:c r="W167" s="73" t="str">
        <x:v>10.1086/720413</x:v>
      </x:c>
      <x:c r="X167" s="93" t="n">
        <x:v>46230</x:v>
      </x:c>
      <x:c r="Y167" s="93" t="n">
        <x:v>46230</x:v>
      </x:c>
      <x:c r="Z167" s="73" t="str"/>
      <x:c r="AA167" s="73" t="str"/>
      <x:c r="AB167" s="73" t="n">
        <x:v>162</x:v>
      </x:c>
      <x:c r="AC167" s="73" t="str">
        <x:v>INTERNAL IMMANENT CRITIQUE</x:v>
      </x:c>
      <x:c r="AD167" s="73" t="str">
        <x:v>MIXED / QUALIFIED CRITIQUE</x:v>
      </x:c>
      <x:c r="AE167" s="73" t="str">
        <x:v>YES</x:v>
      </x:c>
      <x:c r="AF167" s="73" t="str">
        <x:v>Compulsory survivor identity and narrative scripts</x:v>
      </x:c>
      <x:c r="AG167" s="73" t="str">
        <x:v>NO EVIDENCE</x:v>
      </x:c>
      <x:c r="AH167" s="73" t="str"/>
      <x:c r="AI167" s="73" t="str"/>
      <x:c r="AJ167" s="73" t="str"/>
      <x:c r="AK167" s="73" t="str">
        <x:v>NO EVIDENCE</x:v>
      </x:c>
      <x:c r="AL167" s="73" t="str"/>
      <x:c r="AM167" s="73" t="str"/>
      <x:c r="AN167" s="73" t="str"/>
      <x:c r="AO167" s="73" t="str"/>
      <x:c r="AP167" s="73" t="str">
        <x:v>Research team</x:v>
      </x:c>
      <x:c r="AQ167" s="73" t="str">
        <x:v>GORGONWARS-PREMISE-1.0</x:v>
      </x:c>
      <x:c r="AR167" s="73" t="str"/>
      <x:c r="AS167" s="82" t="str">
        <x:f>IF(A167="","",IF(OR(E167="NOT APPLICABLE",E167="PREMISES UNRESOLVED"),"N/A",IF(OR(AND(F167&lt;&gt;"NO EVIDENCE",F167&lt;&gt;"NOT APPLICABLE",OR(AG167="",AH167="",AI167="",AJ167="",AG167="SYSTEM INFERENCE",AG167="ABSTRACT ONLY",AG167="SECONDARY REPORT",AG167="UNVERIFIED",AI167="Exact locator needed",AI167="HAU forum framing; exact target locator needed",AI167="Forum exchange; exact locator needed")),AND(G167&lt;&gt;"NO EVIDENCE",G167&lt;&gt;"NOT APPLICABLE",OR(AK167="",AL167="",AM167="",AN167="",AK167="SYSTEM INFERENCE",AK167="ABSTRACT ONLY",AK167="SECONDARY REPORT",AK167="UNVERIFIED",AM167="Exact locator needed",AM167="HAU forum framing; exact target locator needed",AM167="Forum exchange; exact locator needed"))),"EVIDENCE DEBT","READY")))</x:f>
        <x:v>N/A</x:v>
      </x:c>
      <x:c r="AT167" s="74" t="str">
        <x:v>Added without treating identity-script criticism as automatic anti-standpoint dissent.</x:v>
      </x:c>
    </x:row>
    <x:row r="168" ht="50" customHeight="1">
      <x:c r="A168" s="86" t="n">
        <x:v>163</x:v>
      </x:c>
      <x:c r="B168" s="76" t="str">
        <x:v>Active</x:v>
      </x:c>
      <x:c r="C168" s="90" t="n">
        <x:v>3</x:v>
      </x:c>
      <x:c r="D168" s="82" t="str">
        <x:f>IF(C168="","",IFERROR(VLOOKUP(C168,'Database controls'!$A$5:$B$20,2,FALSE),"NEW / UNCATEGORIZED"))</x:f>
        <x:v>PIP-retaining public/private reconstruction and internal control</x:v>
      </x:c>
      <x:c r="E168" s="76" t="str">
        <x:v>PREMISES UNRESOLVED</x:v>
      </x:c>
      <x:c r="F168" s="76" t="str">
        <x:v>NO EVIDENCE</x:v>
      </x:c>
      <x:c r="G168" s="76" t="str">
        <x:v>NO EVIDENCE</x:v>
      </x:c>
      <x:c r="H168" s="82" t="str">
        <x:f>IF(A168="","",IF(OR(F168="REJECTS",G168="REJECTS"),"OUTSIDE / EXCOMMUNICABLE",IF(AND(OR(F168="RETAINS",F168="RETAINS WITH QUALIFICATION"),OR(G168="RETAINS",G168="RETAINS WITH QUALIFICATION")),"INTERNAL GORGONWARS",IF(AND(F168="NOT APPLICABLE",G168="NOT APPLICABLE"),"NOT APPLICABLE","PREMISES UNRESOLVED"))))</x:f>
        <x:v>PREMISES UNRESOLVED</x:v>
      </x:c>
      <x:c r="I168" s="82" t="str">
        <x:f>IF(A168="","",IF(E168=H168,"OK",IF(AO168&lt;&gt;"","OVERRIDDEN","REVIEW")))</x:f>
        <x:v>OK</x:v>
      </x:c>
      <x:c r="J168" s="76" t="str">
        <x:v>Rhetorical critique of both individual scapegoating and structural abstraction</x:v>
      </x:c>
      <x:c r="K168" s="76" t="str">
        <x:v>Direct #MeToo critique</x:v>
      </x:c>
      <x:c r="L168" s="76" t="str">
        <x:v>Peer-reviewed journal article</x:v>
      </x:c>
      <x:c r="M168" s="76" t="str">
        <x:v>Peer-reviewed</x:v>
      </x:c>
      <x:c r="N168" s="90" t="n">
        <x:v>2019</x:v>
      </x:c>
      <x:c r="O168" s="76" t="str">
        <x:v>Emma Frances Bloomfield</x:v>
      </x:c>
      <x:c r="P168" s="76" t="str">
        <x:v>Rhetorical Constellations and the Inventional/Intersectional Possibilities of #MeToo</x:v>
      </x:c>
      <x:c r="Q168" s="76" t="str">
        <x:v>Journal of Communication Inquiry 43(4)</x:v>
      </x:c>
      <x:c r="R168" s="76" t="str">
        <x:v>English</x:v>
      </x:c>
      <x:c r="S168" s="76" t="str">
        <x:v>#MeToo loses explanatory power both when it reduces systemic abuse to a few villains and when abstract structure erases the concrete people and differences through which harm occurs.</x:v>
      </x:c>
      <x:c r="T168" s="76" t="str">
        <x:v>A rhetorical diagnosis of two failure modes; the available abstract does not establish rejection of either premise.</x:v>
      </x:c>
      <x:c r="U168" s="76" t="str">
        <x:v>Abstract only</x:v>
      </x:c>
      <x:c r="V168" s="76" t="str">
        <x:v>https://oasis.library.unlv.edu/comm_fac_articles/41/</x:v>
      </x:c>
      <x:c r="W168" s="76" t="str">
        <x:v>10.1177/0196859919866444</x:v>
      </x:c>
      <x:c r="X168" s="94" t="n">
        <x:v>46230</x:v>
      </x:c>
      <x:c r="Y168" s="94" t="n">
        <x:v>46230</x:v>
      </x:c>
      <x:c r="Z168" s="76" t="str"/>
      <x:c r="AA168" s="76" t="str"/>
      <x:c r="AB168" s="76" t="n">
        <x:v>163</x:v>
      </x:c>
      <x:c r="AC168" s="76" t="str">
        <x:v>INTERNAL IMMANENT CRITIQUE</x:v>
      </x:c>
      <x:c r="AD168" s="76" t="str">
        <x:v>MIXED / QUALIFIED CRITIQUE</x:v>
      </x:c>
      <x:c r="AE168" s="76" t="str">
        <x:v>YES</x:v>
      </x:c>
      <x:c r="AF168" s="76" t="str">
        <x:v>Individual scapegoating versus structural abstraction</x:v>
      </x:c>
      <x:c r="AG168" s="76" t="str">
        <x:v>NO EVIDENCE</x:v>
      </x:c>
      <x:c r="AH168" s="76" t="str"/>
      <x:c r="AI168" s="76" t="str"/>
      <x:c r="AJ168" s="76" t="str"/>
      <x:c r="AK168" s="76" t="str">
        <x:v>NO EVIDENCE</x:v>
      </x:c>
      <x:c r="AL168" s="76" t="str"/>
      <x:c r="AM168" s="76" t="str"/>
      <x:c r="AN168" s="76" t="str"/>
      <x:c r="AO168" s="76" t="str"/>
      <x:c r="AP168" s="76" t="str">
        <x:v>Research team</x:v>
      </x:c>
      <x:c r="AQ168" s="76" t="str">
        <x:v>GORGONWARS-PREMISE-1.0</x:v>
      </x:c>
      <x:c r="AR168" s="76" t="str"/>
      <x:c r="AS168" s="82" t="str">
        <x:f>IF(A168="","",IF(OR(E168="NOT APPLICABLE",E168="PREMISES UNRESOLVED"),"N/A",IF(OR(AND(F168&lt;&gt;"NO EVIDENCE",F168&lt;&gt;"NOT APPLICABLE",OR(AG168="",AH168="",AI168="",AJ168="",AG168="SYSTEM INFERENCE",AG168="ABSTRACT ONLY",AG168="SECONDARY REPORT",AG168="UNVERIFIED",AI168="Exact locator needed",AI168="HAU forum framing; exact target locator needed",AI168="Forum exchange; exact locator needed")),AND(G168&lt;&gt;"NO EVIDENCE",G168&lt;&gt;"NOT APPLICABLE",OR(AK168="",AL168="",AM168="",AN168="",AK168="SYSTEM INFERENCE",AK168="ABSTRACT ONLY",AK168="SECONDARY REPORT",AK168="UNVERIFIED",AM168="Exact locator needed",AM168="HAU forum framing; exact target locator needed",AM168="Forum exchange; exact locator needed"))),"EVIDENCE DEBT","READY")))</x:f>
        <x:v>N/A</x:v>
      </x:c>
      <x:c r="AT168" s="77" t="str">
        <x:v>Added as unresolved because critique does not equal premise rejection.</x:v>
      </x:c>
    </x:row>
    <x:row r="169" ht="50" customHeight="1">
      <x:c r="A169" s="85" t="n">
        <x:v>164</x:v>
      </x:c>
      <x:c r="B169" s="73" t="str">
        <x:v>Needs full text</x:v>
      </x:c>
      <x:c r="C169" s="89" t="n">
        <x:v>6</x:v>
      </x:c>
      <x:c r="D169" s="82" t="str">
        <x:f>IF(C169="","",IFERROR(VLOOKUP(C169,'Database controls'!$A$5:$B$20,2,FALSE),"NEW / UNCATEGORIZED"))</x:f>
        <x:v>Due process, punishment, and procedural limits</x:v>
      </x:c>
      <x:c r="E169" s="73" t="str">
        <x:v>PREMISES UNRESOLVED</x:v>
      </x:c>
      <x:c r="F169" s="73" t="str">
        <x:v>NO EVIDENCE</x:v>
      </x:c>
      <x:c r="G169" s="73" t="str">
        <x:v>NO EVIDENCE</x:v>
      </x:c>
      <x:c r="H169" s="82" t="str">
        <x:f>IF(A169="","",IF(OR(F169="REJECTS",G169="REJECTS"),"OUTSIDE / EXCOMMUNICABLE",IF(AND(OR(F169="RETAINS",F169="RETAINS WITH QUALIFICATION"),OR(G169="RETAINS",G169="RETAINS WITH QUALIFICATION")),"INTERNAL GORGONWARS",IF(AND(F169="NOT APPLICABLE",G169="NOT APPLICABLE"),"NOT APPLICABLE","PREMISES UNRESOLVED"))))</x:f>
        <x:v>PREMISES UNRESOLVED</x:v>
      </x:c>
      <x:c r="I169" s="82" t="str">
        <x:f>IF(A169="","",IF(E169=H169,"OK",IF(AO169&lt;&gt;"","OVERRIDDEN","REVIEW")))</x:f>
        <x:v>OK</x:v>
      </x:c>
      <x:c r="J169" s="73" t="str">
        <x:v>Sex-positive, anti-carceral restorative response to #MeToo</x:v>
      </x:c>
      <x:c r="K169" s="73" t="str">
        <x:v>Direct #MeToo critique</x:v>
      </x:c>
      <x:c r="L169" s="73" t="str">
        <x:v>Peer-reviewed journal article</x:v>
      </x:c>
      <x:c r="M169" s="73" t="str">
        <x:v>Peer-reviewed</x:v>
      </x:c>
      <x:c r="N169" s="89" t="n">
        <x:v>2021</x:v>
      </x:c>
      <x:c r="O169" s="73" t="str">
        <x:v>Sirma Sikka</x:v>
      </x:c>
      <x:c r="P169" s="73" t="str">
        <x:v>What to do about #MeToo? Consent, autonomy, and restorative justice</x:v>
      </x:c>
      <x:c r="Q169" s="73" t="str">
        <x:v>Sociology Compass</x:v>
      </x:c>
      <x:c r="R169" s="73" t="str">
        <x:v>English</x:v>
      </x:c>
      <x:c r="S169" s="73" t="str">
        <x:v>#MeToo needs a sex-positive and restorative account of consent that protects autonomy without defaulting to punishment or carceral institutions.</x:v>
      </x:c>
      <x:c r="T169" s="73" t="str">
        <x:v>Anti-carceral criticism alone does not prove rejection of personal-to-political action or standpoint authority.</x:v>
      </x:c>
      <x:c r="U169" s="73" t="str">
        <x:v>Abstract only</x:v>
      </x:c>
      <x:c r="V169" s="73" t="str">
        <x:v>https://doi.org/10.1002/sgp2.12027</x:v>
      </x:c>
      <x:c r="W169" s="73" t="str">
        <x:v>10.1002/sgp2.12027</x:v>
      </x:c>
      <x:c r="X169" s="93" t="n">
        <x:v>46230</x:v>
      </x:c>
      <x:c r="Y169" s="93" t="n">
        <x:v>46230</x:v>
      </x:c>
      <x:c r="Z169" s="73" t="str"/>
      <x:c r="AA169" s="73" t="str"/>
      <x:c r="AB169" s="73" t="n">
        <x:v>164</x:v>
      </x:c>
      <x:c r="AC169" s="73" t="str">
        <x:v>INTERNAL IMMANENT CRITIQUE</x:v>
      </x:c>
      <x:c r="AD169" s="73" t="str">
        <x:v>MIXED / QUALIFIED CRITIQUE</x:v>
      </x:c>
      <x:c r="AE169" s="73" t="str">
        <x:v>YES</x:v>
      </x:c>
      <x:c r="AF169" s="73" t="str">
        <x:v>Carceral responses, autonomy, and restorative justice</x:v>
      </x:c>
      <x:c r="AG169" s="73" t="str">
        <x:v>NO EVIDENCE</x:v>
      </x:c>
      <x:c r="AH169" s="73" t="str"/>
      <x:c r="AI169" s="73" t="str"/>
      <x:c r="AJ169" s="73" t="str"/>
      <x:c r="AK169" s="73" t="str">
        <x:v>NO EVIDENCE</x:v>
      </x:c>
      <x:c r="AL169" s="73" t="str"/>
      <x:c r="AM169" s="73" t="str"/>
      <x:c r="AN169" s="73" t="str"/>
      <x:c r="AO169" s="73" t="str"/>
      <x:c r="AP169" s="73" t="str">
        <x:v>Research team</x:v>
      </x:c>
      <x:c r="AQ169" s="73" t="str">
        <x:v>GORGONWARS-PREMISE-1.0</x:v>
      </x:c>
      <x:c r="AR169" s="73" t="str"/>
      <x:c r="AS169" s="82" t="str">
        <x:f>IF(A169="","",IF(OR(E169="NOT APPLICABLE",E169="PREMISES UNRESOLVED"),"N/A",IF(OR(AND(F169&lt;&gt;"NO EVIDENCE",F169&lt;&gt;"NOT APPLICABLE",OR(AG169="",AH169="",AI169="",AJ169="",AG169="SYSTEM INFERENCE",AG169="ABSTRACT ONLY",AG169="SECONDARY REPORT",AG169="UNVERIFIED",AI169="Exact locator needed",AI169="HAU forum framing; exact target locator needed",AI169="Forum exchange; exact locator needed")),AND(G169&lt;&gt;"NO EVIDENCE",G169&lt;&gt;"NOT APPLICABLE",OR(AK169="",AL169="",AM169="",AN169="",AK169="SYSTEM INFERENCE",AK169="ABSTRACT ONLY",AK169="SECONDARY REPORT",AK169="UNVERIFIED",AM169="Exact locator needed",AM169="HAU forum framing; exact target locator needed",AM169="Forum exchange; exact locator needed"))),"EVIDENCE DEBT","READY")))</x:f>
        <x:v>N/A</x:v>
      </x:c>
      <x:c r="AT169" s="74" t="str">
        <x:v>Added as unresolved under the rule that anti-carcerality alone settles neither premise.</x:v>
      </x:c>
    </x:row>
    <x:row r="170" ht="50" customHeight="1">
      <x:c r="A170" s="86" t="n">
        <x:v>165</x:v>
      </x:c>
      <x:c r="B170" s="76" t="str">
        <x:v>Needs full text</x:v>
      </x:c>
      <x:c r="C170" s="90" t="n">
        <x:v>2</x:v>
      </x:c>
      <x:c r="D170" s="82" t="str">
        <x:f>IF(C170="","",IFERROR(VLOOKUP(C170,'Database controls'!$A$5:$B$20,2,FALSE),"NEW / UNCATEGORIZED"))</x:f>
        <x:v>Foundational public/private-boundary dissent</x:v>
      </x:c>
      <x:c r="E170" s="76" t="str">
        <x:v>OUTSIDE / EXCOMMUNICABLE</x:v>
      </x:c>
      <x:c r="F170" s="76" t="str">
        <x:v>REJECTS</x:v>
      </x:c>
      <x:c r="G170" s="76" t="str">
        <x:v>NO EVIDENCE</x:v>
      </x:c>
      <x:c r="H170" s="82" t="str">
        <x:f>IF(A170="","",IF(OR(F170="REJECTS",G170="REJECTS"),"OUTSIDE / EXCOMMUNICABLE",IF(AND(OR(F170="RETAINS",F170="RETAINS WITH QUALIFICATION"),OR(G170="RETAINS",G170="RETAINS WITH QUALIFICATION")),"INTERNAL GORGONWARS",IF(AND(F170="NOT APPLICABLE",G170="NOT APPLICABLE"),"NOT APPLICABLE","PREMISES UNRESOLVED"))))</x:f>
        <x:v>OUTSIDE / EXCOMMUNICABLE</x:v>
      </x:c>
      <x:c r="I170" s="82" t="str">
        <x:f>IF(A170="","",IF(E170=H170,"OK",IF(AO170&lt;&gt;"","OVERRIDDEN","REVIEW")))</x:f>
        <x:v>OK</x:v>
      </x:c>
      <x:c r="J170" s="76" t="str">
        <x:v>Direct theoretical critique of reducing institutional power to interpersonal encounters</x:v>
      </x:c>
      <x:c r="K170" s="76" t="str">
        <x:v>Direct #MeToo critique</x:v>
      </x:c>
      <x:c r="L170" s="76" t="str">
        <x:v>Peer-reviewed journal article</x:v>
      </x:c>
      <x:c r="M170" s="76" t="str">
        <x:v>Peer-reviewed</x:v>
      </x:c>
      <x:c r="N170" s="90" t="n">
        <x:v>2019</x:v>
      </x:c>
      <x:c r="O170" s="76" t="str">
        <x:v>Eva Cherniavsky</x:v>
      </x:c>
      <x:c r="P170" s="76" t="str">
        <x:v>Keyword 1: #MeToo</x:v>
      </x:c>
      <x:c r="Q170" s="76" t="str">
        <x:v>differences 30(1):15–23</x:v>
      </x:c>
      <x:c r="R170" s="76" t="str">
        <x:v>English</x:v>
      </x:c>
      <x:c r="S170" s="76" t="str">
        <x:v>#MeToo tries to name institutional power through interpersonal encounters, but that translation can shrink politics into a series of personal scenes and visible offenders.</x:v>
      </x:c>
      <x:c r="T170" s="76" t="str">
        <x:v>Premise judgment is provisional because the current description is based on scholarly summaries and the primary text is paywalled.</x:v>
      </x:c>
      <x:c r="U170" s="76" t="str">
        <x:v>Secondary verification</x:v>
      </x:c>
      <x:c r="V170" s="76" t="str">
        <x:v>https://doi.org/10.1215/10407391-7481176</x:v>
      </x:c>
      <x:c r="W170" s="76" t="str">
        <x:v>10.1215/10407391-7481176</x:v>
      </x:c>
      <x:c r="X170" s="94" t="n">
        <x:v>46230</x:v>
      </x:c>
      <x:c r="Y170" s="94" t="n">
        <x:v>46230</x:v>
      </x:c>
      <x:c r="Z170" s="76" t="str"/>
      <x:c r="AA170" s="76" t="str"/>
      <x:c r="AB170" s="76" t="n">
        <x:v>165</x:v>
      </x:c>
      <x:c r="AC170" s="76" t="str">
        <x:v>DIRECT OUTSIDE CRITIQUE</x:v>
      </x:c>
      <x:c r="AD170" s="76" t="str">
        <x:v>MIXED / QUALIFIED CRITIQUE</x:v>
      </x:c>
      <x:c r="AE170" s="76" t="str">
        <x:v>YES</x:v>
      </x:c>
      <x:c r="AF170" s="76" t="str">
        <x:v>Reduction of institutional power to interpersonal encounters</x:v>
      </x:c>
      <x:c r="AG170" s="76" t="str">
        <x:v>SECONDARY REPORT</x:v>
      </x:c>
      <x:c r="AH170" s="76" t="str">
        <x:v>Paraphrase of scholarly descriptions: #MeToo attempts to grasp institutional power through interpersonal encounters, risking reduction of the political dimension to personal scenes.</x:v>
      </x:c>
      <x:c r="AI170" s="76" t="str">
        <x:v>Primary pp. 15–23; exact passage needed</x:v>
      </x:c>
      <x:c r="AJ170" s="76" t="str">
        <x:v>https://doi.org/10.1215/10407391-7481176</x:v>
      </x:c>
      <x:c r="AK170" s="76" t="str">
        <x:v>NO EVIDENCE</x:v>
      </x:c>
      <x:c r="AL170" s="76" t="str"/>
      <x:c r="AM170" s="76" t="str"/>
      <x:c r="AN170" s="76" t="str"/>
      <x:c r="AO170" s="76" t="str"/>
      <x:c r="AP170" s="76" t="str">
        <x:v>Research team</x:v>
      </x:c>
      <x:c r="AQ170" s="76" t="str">
        <x:v>GORGONWARS-PREMISE-1.0</x:v>
      </x:c>
      <x:c r="AR170" s="76" t="str"/>
      <x:c r="AS170" s="82" t="str">
        <x:f>IF(A170="","",IF(OR(E170="NOT APPLICABLE",E170="PREMISES UNRESOLVED"),"N/A",IF(OR(AND(F170&lt;&gt;"NO EVIDENCE",F170&lt;&gt;"NOT APPLICABLE",OR(AG170="",AH170="",AI170="",AJ170="",AG170="SYSTEM INFERENCE",AG170="ABSTRACT ONLY",AG170="SECONDARY REPORT",AG170="UNVERIFIED",AI170="Exact locator needed",AI170="HAU forum framing; exact target locator needed",AI170="Forum exchange; exact locator needed")),AND(G170&lt;&gt;"NO EVIDENCE",G170&lt;&gt;"NOT APPLICABLE",OR(AK170="",AL170="",AM170="",AN170="",AK170="SYSTEM INFERENCE",AK170="ABSTRACT ONLY",AK170="SECONDARY REPORT",AK170="UNVERIFIED",AM170="Exact locator needed",AM170="HAU forum framing; exact target locator needed",AM170="Forum exchange; exact locator needed"))),"EVIDENCE DEBT","READY")))</x:f>
        <x:v>EVIDENCE DEBT</x:v>
      </x:c>
      <x:c r="AT170" s="77" t="str">
        <x:v>Added as a provisional outside candidate with explicit full-text debt.</x:v>
      </x:c>
    </x:row>
    <x:row r="171" ht="50" customHeight="1">
      <x:c r="A171" s="85" t="n">
        <x:v>166</x:v>
      </x:c>
      <x:c r="B171" s="73" t="str">
        <x:v>Needs full text</x:v>
      </x:c>
      <x:c r="C171" s="89" t="n">
        <x:v>5</x:v>
      </x:c>
      <x:c r="D171" s="82" t="str">
        <x:f>IF(C171="","",IFERROR(VLOOKUP(C171,'Database controls'!$A$5:$B$20,2,FALSE),"NEW / UNCATEGORIZED"))</x:f>
        <x:v>Desire, agency, and sexual ambiguity</x:v>
      </x:c>
      <x:c r="E171" s="73" t="str">
        <x:v>OUTSIDE / EXCOMMUNICABLE</x:v>
      </x:c>
      <x:c r="F171" s="73" t="str">
        <x:v>REJECTS</x:v>
      </x:c>
      <x:c r="G171" s="73" t="str">
        <x:v>NO EVIDENCE</x:v>
      </x:c>
      <x:c r="H171" s="82" t="str">
        <x:f>IF(A171="","",IF(OR(F171="REJECTS",G171="REJECTS"),"OUTSIDE / EXCOMMUNICABLE",IF(AND(OR(F171="RETAINS",F171="RETAINS WITH QUALIFICATION"),OR(G171="RETAINS",G171="RETAINS WITH QUALIFICATION")),"INTERNAL GORGONWARS",IF(AND(F171="NOT APPLICABLE",G171="NOT APPLICABLE"),"NOT APPLICABLE","PREMISES UNRESOLVED"))))</x:f>
        <x:v>OUTSIDE / EXCOMMUNICABLE</x:v>
      </x:c>
      <x:c r="I171" s="82" t="str">
        <x:f>IF(A171="","",IF(E171=H171,"OK",IF(AO171&lt;&gt;"","OVERRIDDEN","REVIEW")))</x:f>
        <x:v>OK</x:v>
      </x:c>
      <x:c r="J171" s="73" t="str">
        <x:v>Sex-positive feminist antecedent against danger-only sexual politics</x:v>
      </x:c>
      <x:c r="K171" s="73" t="str">
        <x:v>Foundational antecedent</x:v>
      </x:c>
      <x:c r="L171" s="73" t="str">
        <x:v>Book chapter</x:v>
      </x:c>
      <x:c r="M171" s="73" t="str">
        <x:v>Unresolved</x:v>
      </x:c>
      <x:c r="N171" s="89" t="n">
        <x:v>1984</x:v>
      </x:c>
      <x:c r="O171" s="73" t="str">
        <x:v>Carole S. Vance</x:v>
      </x:c>
      <x:c r="P171" s="73" t="str">
        <x:v>Pleasure and Danger: Toward a Politics of Sexuality</x:v>
      </x:c>
      <x:c r="Q171" s="73" t="str">
        <x:v>Pleasure and Danger: Exploring Female Sexuality, Routledge</x:v>
      </x:c>
      <x:c r="R171" s="73" t="str">
        <x:v>English</x:v>
      </x:c>
      <x:c r="S171" s="73" t="str">
        <x:v>A sexual politics organized only around danger and victimization erases women’s pleasure, choice, curiosity, and agency while expanding fear and control.</x:v>
      </x:c>
      <x:c r="T171" s="73" t="str">
        <x:v>A foundational sex-positive feminist argument, not a direct #MeToo article; the exact chapter edition and locator need final verification.</x:v>
      </x:c>
      <x:c r="U171" s="73" t="str">
        <x:v>Abstract only</x:v>
      </x:c>
      <x:c r="V171" s="73" t="str">
        <x:v>https://doi.org/10.1093/oso/9780192892706.003.0056</x:v>
      </x:c>
      <x:c r="W171" s="73" t="str">
        <x:v>10.1093/oso/9780192892706.003.0056</x:v>
      </x:c>
      <x:c r="X171" s="93" t="n">
        <x:v>46230</x:v>
      </x:c>
      <x:c r="Y171" s="93" t="n">
        <x:v>46230</x:v>
      </x:c>
      <x:c r="Z171" s="73" t="str"/>
      <x:c r="AA171" s="73" t="str"/>
      <x:c r="AB171" s="73" t="n">
        <x:v>166</x:v>
      </x:c>
      <x:c r="AC171" s="73" t="str">
        <x:v>FOUNDATIONAL ANTECEDENT</x:v>
      </x:c>
      <x:c r="AD171" s="73" t="str">
        <x:v>EXPLICIT CRITIQUE</x:v>
      </x:c>
      <x:c r="AE171" s="73" t="str">
        <x:v>NO</x:v>
      </x:c>
      <x:c r="AF171" s="73" t="str">
        <x:v>Danger-only sexual politics and erasure of agency</x:v>
      </x:c>
      <x:c r="AG171" s="73" t="str">
        <x:v>ABSTRACT ONLY</x:v>
      </x:c>
      <x:c r="AH171" s="73" t="str">
        <x:v>Paraphrase: Focusing only on sexual danger ignores women’s agency, choice, and pleasure and can increase terror and control.</x:v>
      </x:c>
      <x:c r="AI171" s="73" t="str">
        <x:v>Chapter abstract; exact edition locator needed</x:v>
      </x:c>
      <x:c r="AJ171" s="73" t="str">
        <x:v>https://doi.org/10.1093/oso/9780192892706.003.0056</x:v>
      </x:c>
      <x:c r="AK171" s="73" t="str">
        <x:v>NO EVIDENCE</x:v>
      </x:c>
      <x:c r="AL171" s="73" t="str"/>
      <x:c r="AM171" s="73" t="str"/>
      <x:c r="AN171" s="73" t="str"/>
      <x:c r="AO171" s="73" t="str"/>
      <x:c r="AP171" s="73" t="str">
        <x:v>Research team</x:v>
      </x:c>
      <x:c r="AQ171" s="73" t="str">
        <x:v>GORGONWARS-PREMISE-1.0</x:v>
      </x:c>
      <x:c r="AR171" s="73" t="str"/>
      <x:c r="AS171" s="82" t="str">
        <x:f>IF(A171="","",IF(OR(E171="NOT APPLICABLE",E171="PREMISES UNRESOLVED"),"N/A",IF(OR(AND(F171&lt;&gt;"NO EVIDENCE",F171&lt;&gt;"NOT APPLICABLE",OR(AG171="",AH171="",AI171="",AJ171="",AG171="SYSTEM INFERENCE",AG171="ABSTRACT ONLY",AG171="SECONDARY REPORT",AG171="UNVERIFIED",AI171="Exact locator needed",AI171="HAU forum framing; exact target locator needed",AI171="Forum exchange; exact locator needed")),AND(G171&lt;&gt;"NO EVIDENCE",G171&lt;&gt;"NOT APPLICABLE",OR(AK171="",AL171="",AM171="",AN171="",AK171="SYSTEM INFERENCE",AK171="ABSTRACT ONLY",AK171="SECONDARY REPORT",AK171="UNVERIFIED",AM171="Exact locator needed",AM171="HAU forum framing; exact target locator needed",AM171="Forum exchange; exact locator needed"))),"EVIDENCE DEBT","READY")))</x:f>
        <x:v>EVIDENCE DEBT</x:v>
      </x:c>
      <x:c r="AT171" s="74" t="str">
        <x:v>Added as a sex-positive antecedent with bibliographic evidence debt.</x:v>
      </x:c>
    </x:row>
    <x:row r="172" ht="24" customHeight="1">
      <x:c r="A172" s="86"/>
      <x:c r="B172" s="76"/>
      <x:c r="C172" s="90"/>
      <x:c r="D172" s="82" t="str">
        <x:f>IF(C172="","",IFERROR(VLOOKUP(C172,'Database controls'!$A$5:$B$20,2,FALSE),"NEW / UNCATEGORIZED"))</x:f>
      </x:c>
      <x:c r="E172" s="76"/>
      <x:c r="F172" s="76"/>
      <x:c r="G172" s="76"/>
      <x:c r="H172" s="82" t="str">
        <x:f>IF(A172="","",IF(OR(F172="REJECTS",G172="REJECTS"),"OUTSIDE / EXCOMMUNICABLE",IF(AND(OR(F172="RETAINS",F172="RETAINS WITH QUALIFICATION"),OR(G172="RETAINS",G172="RETAINS WITH QUALIFICATION")),"INTERNAL GORGONWARS",IF(AND(F172="NOT APPLICABLE",G172="NOT APPLICABLE"),"NOT APPLICABLE","PREMISES UNRESOLVED"))))</x:f>
      </x:c>
      <x:c r="I172" s="82" t="str">
        <x:f>IF(A172="","",IF(E172=H172,"OK",IF(AO172&lt;&gt;"","OVERRIDDEN","REVIEW")))</x:f>
      </x:c>
      <x:c r="J172" s="76"/>
      <x:c r="K172" s="76"/>
      <x:c r="L172" s="76"/>
      <x:c r="M172" s="76"/>
      <x:c r="N172" s="90"/>
      <x:c r="O172" s="76"/>
      <x:c r="P172" s="76"/>
      <x:c r="Q172" s="76"/>
      <x:c r="R172" s="76"/>
      <x:c r="S172" s="76"/>
      <x:c r="T172" s="76"/>
      <x:c r="U172" s="76"/>
      <x:c r="V172" s="76"/>
      <x:c r="W172" s="76"/>
      <x:c r="X172" s="94"/>
      <x:c r="Y172" s="94"/>
      <x:c r="Z172" s="76"/>
      <x:c r="AA172" s="76"/>
      <x:c r="AB172" s="76"/>
      <x:c r="AC172" s="76"/>
      <x:c r="AD172" s="76"/>
      <x:c r="AE172" s="76"/>
      <x:c r="AF172" s="76"/>
      <x:c r="AG172" s="76"/>
      <x:c r="AH172" s="76"/>
      <x:c r="AI172" s="76"/>
      <x:c r="AJ172" s="76"/>
      <x:c r="AK172" s="76"/>
      <x:c r="AL172" s="76"/>
      <x:c r="AM172" s="76"/>
      <x:c r="AN172" s="76"/>
      <x:c r="AO172" s="76"/>
      <x:c r="AP172" s="76"/>
      <x:c r="AQ172" s="76"/>
      <x:c r="AR172" s="76"/>
      <x:c r="AS172" s="82" t="str">
        <x:f>IF(A172="","",IF(OR(E172="NOT APPLICABLE",E172="PREMISES UNRESOLVED"),"N/A",IF(OR(AND(F172&lt;&gt;"NO EVIDENCE",F172&lt;&gt;"NOT APPLICABLE",OR(AG172="",AH172="",AI172="",AJ172="",AG172="SYSTEM INFERENCE",AG172="ABSTRACT ONLY",AG172="SECONDARY REPORT",AG172="UNVERIFIED",AI172="Exact locator needed",AI172="HAU forum framing; exact target locator needed",AI172="Forum exchange; exact locator needed")),AND(G172&lt;&gt;"NO EVIDENCE",G172&lt;&gt;"NOT APPLICABLE",OR(AK172="",AL172="",AM172="",AN172="",AK172="SYSTEM INFERENCE",AK172="ABSTRACT ONLY",AK172="SECONDARY REPORT",AK172="UNVERIFIED",AM172="Exact locator needed",AM172="HAU forum framing; exact target locator needed",AM172="Forum exchange; exact locator needed"))),"EVIDENCE DEBT","READY")))</x:f>
      </x:c>
      <x:c r="AT172" s="77"/>
    </x:row>
    <x:row r="173" ht="24" customHeight="1">
      <x:c r="A173" s="85"/>
      <x:c r="B173" s="73"/>
      <x:c r="C173" s="89"/>
      <x:c r="D173" s="82" t="str">
        <x:f>IF(C173="","",IFERROR(VLOOKUP(C173,'Database controls'!$A$5:$B$20,2,FALSE),"NEW / UNCATEGORIZED"))</x:f>
      </x:c>
      <x:c r="E173" s="73"/>
      <x:c r="F173" s="73"/>
      <x:c r="G173" s="73"/>
      <x:c r="H173" s="82" t="str">
        <x:f>IF(A173="","",IF(OR(F173="REJECTS",G173="REJECTS"),"OUTSIDE / EXCOMMUNICABLE",IF(AND(OR(F173="RETAINS",F173="RETAINS WITH QUALIFICATION"),OR(G173="RETAINS",G173="RETAINS WITH QUALIFICATION")),"INTERNAL GORGONWARS",IF(AND(F173="NOT APPLICABLE",G173="NOT APPLICABLE"),"NOT APPLICABLE","PREMISES UNRESOLVED"))))</x:f>
      </x:c>
      <x:c r="I173" s="82" t="str">
        <x:f>IF(A173="","",IF(E173=H173,"OK",IF(AO173&lt;&gt;"","OVERRIDDEN","REVIEW")))</x:f>
      </x:c>
      <x:c r="J173" s="73"/>
      <x:c r="K173" s="73"/>
      <x:c r="L173" s="73"/>
      <x:c r="M173" s="73"/>
      <x:c r="N173" s="89"/>
      <x:c r="O173" s="73"/>
      <x:c r="P173" s="73"/>
      <x:c r="Q173" s="73"/>
      <x:c r="R173" s="73"/>
      <x:c r="S173" s="73"/>
      <x:c r="T173" s="73"/>
      <x:c r="U173" s="73"/>
      <x:c r="V173" s="73"/>
      <x:c r="W173" s="73"/>
      <x:c r="X173" s="93"/>
      <x:c r="Y173" s="93"/>
      <x:c r="Z173" s="73"/>
      <x:c r="AA173" s="73"/>
      <x:c r="AB173" s="73"/>
      <x:c r="AC173" s="73"/>
      <x:c r="AD173" s="73"/>
      <x:c r="AE173" s="73"/>
      <x:c r="AF173" s="73"/>
      <x:c r="AG173" s="73"/>
      <x:c r="AH173" s="73"/>
      <x:c r="AI173" s="73"/>
      <x:c r="AJ173" s="73"/>
      <x:c r="AK173" s="73"/>
      <x:c r="AL173" s="73"/>
      <x:c r="AM173" s="73"/>
      <x:c r="AN173" s="73"/>
      <x:c r="AO173" s="73"/>
      <x:c r="AP173" s="73"/>
      <x:c r="AQ173" s="73"/>
      <x:c r="AR173" s="73"/>
      <x:c r="AS173" s="82" t="str">
        <x:f>IF(A173="","",IF(OR(E173="NOT APPLICABLE",E173="PREMISES UNRESOLVED"),"N/A",IF(OR(AND(F173&lt;&gt;"NO EVIDENCE",F173&lt;&gt;"NOT APPLICABLE",OR(AG173="",AH173="",AI173="",AJ173="",AG173="SYSTEM INFERENCE",AG173="ABSTRACT ONLY",AG173="SECONDARY REPORT",AG173="UNVERIFIED",AI173="Exact locator needed",AI173="HAU forum framing; exact target locator needed",AI173="Forum exchange; exact locator needed")),AND(G173&lt;&gt;"NO EVIDENCE",G173&lt;&gt;"NOT APPLICABLE",OR(AK173="",AL173="",AM173="",AN173="",AK173="SYSTEM INFERENCE",AK173="ABSTRACT ONLY",AK173="SECONDARY REPORT",AK173="UNVERIFIED",AM173="Exact locator needed",AM173="HAU forum framing; exact target locator needed",AM173="Forum exchange; exact locator needed"))),"EVIDENCE DEBT","READY")))</x:f>
      </x:c>
      <x:c r="AT173" s="74"/>
    </x:row>
    <x:row r="174" ht="24" customHeight="1">
      <x:c r="A174" s="86"/>
      <x:c r="B174" s="76"/>
      <x:c r="C174" s="90"/>
      <x:c r="D174" s="82" t="str">
        <x:f>IF(C174="","",IFERROR(VLOOKUP(C174,'Database controls'!$A$5:$B$20,2,FALSE),"NEW / UNCATEGORIZED"))</x:f>
      </x:c>
      <x:c r="E174" s="76"/>
      <x:c r="F174" s="76"/>
      <x:c r="G174" s="76"/>
      <x:c r="H174" s="82" t="str">
        <x:f>IF(A174="","",IF(OR(F174="REJECTS",G174="REJECTS"),"OUTSIDE / EXCOMMUNICABLE",IF(AND(OR(F174="RETAINS",F174="RETAINS WITH QUALIFICATION"),OR(G174="RETAINS",G174="RETAINS WITH QUALIFICATION")),"INTERNAL GORGONWARS",IF(AND(F174="NOT APPLICABLE",G174="NOT APPLICABLE"),"NOT APPLICABLE","PREMISES UNRESOLVED"))))</x:f>
      </x:c>
      <x:c r="I174" s="82" t="str">
        <x:f>IF(A174="","",IF(E174=H174,"OK",IF(AO174&lt;&gt;"","OVERRIDDEN","REVIEW")))</x:f>
      </x:c>
      <x:c r="J174" s="76"/>
      <x:c r="K174" s="76"/>
      <x:c r="L174" s="76"/>
      <x:c r="M174" s="76"/>
      <x:c r="N174" s="90"/>
      <x:c r="O174" s="76"/>
      <x:c r="P174" s="76"/>
      <x:c r="Q174" s="76"/>
      <x:c r="R174" s="76"/>
      <x:c r="S174" s="76"/>
      <x:c r="T174" s="76"/>
      <x:c r="U174" s="76"/>
      <x:c r="V174" s="76"/>
      <x:c r="W174" s="76"/>
      <x:c r="X174" s="94"/>
      <x:c r="Y174" s="94"/>
      <x:c r="Z174" s="76"/>
      <x:c r="AA174" s="76"/>
      <x:c r="AB174" s="76"/>
      <x:c r="AC174" s="76"/>
      <x:c r="AD174" s="76"/>
      <x:c r="AE174" s="76"/>
      <x:c r="AF174" s="76"/>
      <x:c r="AG174" s="76"/>
      <x:c r="AH174" s="76"/>
      <x:c r="AI174" s="76"/>
      <x:c r="AJ174" s="76"/>
      <x:c r="AK174" s="76"/>
      <x:c r="AL174" s="76"/>
      <x:c r="AM174" s="76"/>
      <x:c r="AN174" s="76"/>
      <x:c r="AO174" s="76"/>
      <x:c r="AP174" s="76"/>
      <x:c r="AQ174" s="76"/>
      <x:c r="AR174" s="76"/>
      <x:c r="AS174" s="82" t="str">
        <x:f>IF(A174="","",IF(OR(E174="NOT APPLICABLE",E174="PREMISES UNRESOLVED"),"N/A",IF(OR(AND(F174&lt;&gt;"NO EVIDENCE",F174&lt;&gt;"NOT APPLICABLE",OR(AG174="",AH174="",AI174="",AJ174="",AG174="SYSTEM INFERENCE",AG174="ABSTRACT ONLY",AG174="SECONDARY REPORT",AG174="UNVERIFIED",AI174="Exact locator needed",AI174="HAU forum framing; exact target locator needed",AI174="Forum exchange; exact locator needed")),AND(G174&lt;&gt;"NO EVIDENCE",G174&lt;&gt;"NOT APPLICABLE",OR(AK174="",AL174="",AM174="",AN174="",AK174="SYSTEM INFERENCE",AK174="ABSTRACT ONLY",AK174="SECONDARY REPORT",AK174="UNVERIFIED",AM174="Exact locator needed",AM174="HAU forum framing; exact target locator needed",AM174="Forum exchange; exact locator needed"))),"EVIDENCE DEBT","READY")))</x:f>
      </x:c>
      <x:c r="AT174" s="77"/>
    </x:row>
    <x:row r="175" ht="24" customHeight="1">
      <x:c r="A175" s="85"/>
      <x:c r="B175" s="73"/>
      <x:c r="C175" s="89"/>
      <x:c r="D175" s="82" t="str">
        <x:f>IF(C175="","",IFERROR(VLOOKUP(C175,'Database controls'!$A$5:$B$20,2,FALSE),"NEW / UNCATEGORIZED"))</x:f>
      </x:c>
      <x:c r="E175" s="73"/>
      <x:c r="F175" s="73"/>
      <x:c r="G175" s="73"/>
      <x:c r="H175" s="82" t="str">
        <x:f>IF(A175="","",IF(OR(F175="REJECTS",G175="REJECTS"),"OUTSIDE / EXCOMMUNICABLE",IF(AND(OR(F175="RETAINS",F175="RETAINS WITH QUALIFICATION"),OR(G175="RETAINS",G175="RETAINS WITH QUALIFICATION")),"INTERNAL GORGONWARS",IF(AND(F175="NOT APPLICABLE",G175="NOT APPLICABLE"),"NOT APPLICABLE","PREMISES UNRESOLVED"))))</x:f>
      </x:c>
      <x:c r="I175" s="82" t="str">
        <x:f>IF(A175="","",IF(E175=H175,"OK",IF(AO175&lt;&gt;"","OVERRIDDEN","REVIEW")))</x:f>
      </x:c>
      <x:c r="J175" s="73"/>
      <x:c r="K175" s="73"/>
      <x:c r="L175" s="73"/>
      <x:c r="M175" s="73"/>
      <x:c r="N175" s="89"/>
      <x:c r="O175" s="73"/>
      <x:c r="P175" s="73"/>
      <x:c r="Q175" s="73"/>
      <x:c r="R175" s="73"/>
      <x:c r="S175" s="73"/>
      <x:c r="T175" s="73"/>
      <x:c r="U175" s="73"/>
      <x:c r="V175" s="73"/>
      <x:c r="W175" s="73"/>
      <x:c r="X175" s="93"/>
      <x:c r="Y175" s="93"/>
      <x:c r="Z175" s="73"/>
      <x:c r="AA175" s="73"/>
      <x:c r="AB175" s="73"/>
      <x:c r="AC175" s="73"/>
      <x:c r="AD175" s="73"/>
      <x:c r="AE175" s="73"/>
      <x:c r="AF175" s="73"/>
      <x:c r="AG175" s="73"/>
      <x:c r="AH175" s="73"/>
      <x:c r="AI175" s="73"/>
      <x:c r="AJ175" s="73"/>
      <x:c r="AK175" s="73"/>
      <x:c r="AL175" s="73"/>
      <x:c r="AM175" s="73"/>
      <x:c r="AN175" s="73"/>
      <x:c r="AO175" s="73"/>
      <x:c r="AP175" s="73"/>
      <x:c r="AQ175" s="73"/>
      <x:c r="AR175" s="73"/>
      <x:c r="AS175" s="82" t="str">
        <x:f>IF(A175="","",IF(OR(E175="NOT APPLICABLE",E175="PREMISES UNRESOLVED"),"N/A",IF(OR(AND(F175&lt;&gt;"NO EVIDENCE",F175&lt;&gt;"NOT APPLICABLE",OR(AG175="",AH175="",AI175="",AJ175="",AG175="SYSTEM INFERENCE",AG175="ABSTRACT ONLY",AG175="SECONDARY REPORT",AG175="UNVERIFIED",AI175="Exact locator needed",AI175="HAU forum framing; exact target locator needed",AI175="Forum exchange; exact locator needed")),AND(G175&lt;&gt;"NO EVIDENCE",G175&lt;&gt;"NOT APPLICABLE",OR(AK175="",AL175="",AM175="",AN175="",AK175="SYSTEM INFERENCE",AK175="ABSTRACT ONLY",AK175="SECONDARY REPORT",AK175="UNVERIFIED",AM175="Exact locator needed",AM175="HAU forum framing; exact target locator needed",AM175="Forum exchange; exact locator needed"))),"EVIDENCE DEBT","READY")))</x:f>
      </x:c>
      <x:c r="AT175" s="74"/>
    </x:row>
    <x:row r="176" ht="24" customHeight="1">
      <x:c r="A176" s="86"/>
      <x:c r="B176" s="76"/>
      <x:c r="C176" s="90"/>
      <x:c r="D176" s="82" t="str">
        <x:f>IF(C176="","",IFERROR(VLOOKUP(C176,'Database controls'!$A$5:$B$20,2,FALSE),"NEW / UNCATEGORIZED"))</x:f>
      </x:c>
      <x:c r="E176" s="76"/>
      <x:c r="F176" s="76"/>
      <x:c r="G176" s="76"/>
      <x:c r="H176" s="82" t="str">
        <x:f>IF(A176="","",IF(OR(F176="REJECTS",G176="REJECTS"),"OUTSIDE / EXCOMMUNICABLE",IF(AND(OR(F176="RETAINS",F176="RETAINS WITH QUALIFICATION"),OR(G176="RETAINS",G176="RETAINS WITH QUALIFICATION")),"INTERNAL GORGONWARS",IF(AND(F176="NOT APPLICABLE",G176="NOT APPLICABLE"),"NOT APPLICABLE","PREMISES UNRESOLVED"))))</x:f>
      </x:c>
      <x:c r="I176" s="82" t="str">
        <x:f>IF(A176="","",IF(E176=H176,"OK",IF(AO176&lt;&gt;"","OVERRIDDEN","REVIEW")))</x:f>
      </x:c>
      <x:c r="J176" s="76"/>
      <x:c r="K176" s="76"/>
      <x:c r="L176" s="76"/>
      <x:c r="M176" s="76"/>
      <x:c r="N176" s="90"/>
      <x:c r="O176" s="76"/>
      <x:c r="P176" s="76"/>
      <x:c r="Q176" s="76"/>
      <x:c r="R176" s="76"/>
      <x:c r="S176" s="76"/>
      <x:c r="T176" s="76"/>
      <x:c r="U176" s="76"/>
      <x:c r="V176" s="76"/>
      <x:c r="W176" s="76"/>
      <x:c r="X176" s="94"/>
      <x:c r="Y176" s="94"/>
      <x:c r="Z176" s="76"/>
      <x:c r="AA176" s="76"/>
      <x:c r="AB176" s="76"/>
      <x:c r="AC176" s="76"/>
      <x:c r="AD176" s="76"/>
      <x:c r="AE176" s="76"/>
      <x:c r="AF176" s="76"/>
      <x:c r="AG176" s="76"/>
      <x:c r="AH176" s="76"/>
      <x:c r="AI176" s="76"/>
      <x:c r="AJ176" s="76"/>
      <x:c r="AK176" s="76"/>
      <x:c r="AL176" s="76"/>
      <x:c r="AM176" s="76"/>
      <x:c r="AN176" s="76"/>
      <x:c r="AO176" s="76"/>
      <x:c r="AP176" s="76"/>
      <x:c r="AQ176" s="76"/>
      <x:c r="AR176" s="76"/>
      <x:c r="AS176" s="82" t="str">
        <x:f>IF(A176="","",IF(OR(E176="NOT APPLICABLE",E176="PREMISES UNRESOLVED"),"N/A",IF(OR(AND(F176&lt;&gt;"NO EVIDENCE",F176&lt;&gt;"NOT APPLICABLE",OR(AG176="",AH176="",AI176="",AJ176="",AG176="SYSTEM INFERENCE",AG176="ABSTRACT ONLY",AG176="SECONDARY REPORT",AG176="UNVERIFIED",AI176="Exact locator needed",AI176="HAU forum framing; exact target locator needed",AI176="Forum exchange; exact locator needed")),AND(G176&lt;&gt;"NO EVIDENCE",G176&lt;&gt;"NOT APPLICABLE",OR(AK176="",AL176="",AM176="",AN176="",AK176="SYSTEM INFERENCE",AK176="ABSTRACT ONLY",AK176="SECONDARY REPORT",AK176="UNVERIFIED",AM176="Exact locator needed",AM176="HAU forum framing; exact target locator needed",AM176="Forum exchange; exact locator needed"))),"EVIDENCE DEBT","READY")))</x:f>
      </x:c>
      <x:c r="AT176" s="77"/>
    </x:row>
    <x:row r="177" ht="24" customHeight="1">
      <x:c r="A177" s="85"/>
      <x:c r="B177" s="73"/>
      <x:c r="C177" s="89"/>
      <x:c r="D177" s="82" t="str">
        <x:f>IF(C177="","",IFERROR(VLOOKUP(C177,'Database controls'!$A$5:$B$20,2,FALSE),"NEW / UNCATEGORIZED"))</x:f>
      </x:c>
      <x:c r="E177" s="73"/>
      <x:c r="F177" s="73"/>
      <x:c r="G177" s="73"/>
      <x:c r="H177" s="82" t="str">
        <x:f>IF(A177="","",IF(OR(F177="REJECTS",G177="REJECTS"),"OUTSIDE / EXCOMMUNICABLE",IF(AND(OR(F177="RETAINS",F177="RETAINS WITH QUALIFICATION"),OR(G177="RETAINS",G177="RETAINS WITH QUALIFICATION")),"INTERNAL GORGONWARS",IF(AND(F177="NOT APPLICABLE",G177="NOT APPLICABLE"),"NOT APPLICABLE","PREMISES UNRESOLVED"))))</x:f>
      </x:c>
      <x:c r="I177" s="82" t="str">
        <x:f>IF(A177="","",IF(E177=H177,"OK",IF(AO177&lt;&gt;"","OVERRIDDEN","REVIEW")))</x:f>
      </x:c>
      <x:c r="J177" s="73"/>
      <x:c r="K177" s="73"/>
      <x:c r="L177" s="73"/>
      <x:c r="M177" s="73"/>
      <x:c r="N177" s="89"/>
      <x:c r="O177" s="73"/>
      <x:c r="P177" s="73"/>
      <x:c r="Q177" s="73"/>
      <x:c r="R177" s="73"/>
      <x:c r="S177" s="73"/>
      <x:c r="T177" s="73"/>
      <x:c r="U177" s="73"/>
      <x:c r="V177" s="73"/>
      <x:c r="W177" s="73"/>
      <x:c r="X177" s="93"/>
      <x:c r="Y177" s="93"/>
      <x:c r="Z177" s="73"/>
      <x:c r="AA177" s="73"/>
      <x:c r="AB177" s="73"/>
      <x:c r="AC177" s="73"/>
      <x:c r="AD177" s="73"/>
      <x:c r="AE177" s="73"/>
      <x:c r="AF177" s="73"/>
      <x:c r="AG177" s="73"/>
      <x:c r="AH177" s="73"/>
      <x:c r="AI177" s="73"/>
      <x:c r="AJ177" s="73"/>
      <x:c r="AK177" s="73"/>
      <x:c r="AL177" s="73"/>
      <x:c r="AM177" s="73"/>
      <x:c r="AN177" s="73"/>
      <x:c r="AO177" s="73"/>
      <x:c r="AP177" s="73"/>
      <x:c r="AQ177" s="73"/>
      <x:c r="AR177" s="73"/>
      <x:c r="AS177" s="82" t="str">
        <x:f>IF(A177="","",IF(OR(E177="NOT APPLICABLE",E177="PREMISES UNRESOLVED"),"N/A",IF(OR(AND(F177&lt;&gt;"NO EVIDENCE",F177&lt;&gt;"NOT APPLICABLE",OR(AG177="",AH177="",AI177="",AJ177="",AG177="SYSTEM INFERENCE",AG177="ABSTRACT ONLY",AG177="SECONDARY REPORT",AG177="UNVERIFIED",AI177="Exact locator needed",AI177="HAU forum framing; exact target locator needed",AI177="Forum exchange; exact locator needed")),AND(G177&lt;&gt;"NO EVIDENCE",G177&lt;&gt;"NOT APPLICABLE",OR(AK177="",AL177="",AM177="",AN177="",AK177="SYSTEM INFERENCE",AK177="ABSTRACT ONLY",AK177="SECONDARY REPORT",AK177="UNVERIFIED",AM177="Exact locator needed",AM177="HAU forum framing; exact target locator needed",AM177="Forum exchange; exact locator needed"))),"EVIDENCE DEBT","READY")))</x:f>
      </x:c>
      <x:c r="AT177" s="74"/>
    </x:row>
    <x:row r="178" ht="24" customHeight="1">
      <x:c r="A178" s="86"/>
      <x:c r="B178" s="76"/>
      <x:c r="C178" s="90"/>
      <x:c r="D178" s="82" t="str">
        <x:f>IF(C178="","",IFERROR(VLOOKUP(C178,'Database controls'!$A$5:$B$20,2,FALSE),"NEW / UNCATEGORIZED"))</x:f>
      </x:c>
      <x:c r="E178" s="76"/>
      <x:c r="F178" s="76"/>
      <x:c r="G178" s="76"/>
      <x:c r="H178" s="82" t="str">
        <x:f>IF(A178="","",IF(OR(F178="REJECTS",G178="REJECTS"),"OUTSIDE / EXCOMMUNICABLE",IF(AND(OR(F178="RETAINS",F178="RETAINS WITH QUALIFICATION"),OR(G178="RETAINS",G178="RETAINS WITH QUALIFICATION")),"INTERNAL GORGONWARS",IF(AND(F178="NOT APPLICABLE",G178="NOT APPLICABLE"),"NOT APPLICABLE","PREMISES UNRESOLVED"))))</x:f>
      </x:c>
      <x:c r="I178" s="82" t="str">
        <x:f>IF(A178="","",IF(E178=H178,"OK",IF(AO178&lt;&gt;"","OVERRIDDEN","REVIEW")))</x:f>
      </x:c>
      <x:c r="J178" s="76"/>
      <x:c r="K178" s="76"/>
      <x:c r="L178" s="76"/>
      <x:c r="M178" s="76"/>
      <x:c r="N178" s="90"/>
      <x:c r="O178" s="76"/>
      <x:c r="P178" s="76"/>
      <x:c r="Q178" s="76"/>
      <x:c r="R178" s="76"/>
      <x:c r="S178" s="76"/>
      <x:c r="T178" s="76"/>
      <x:c r="U178" s="76"/>
      <x:c r="V178" s="76"/>
      <x:c r="W178" s="76"/>
      <x:c r="X178" s="94"/>
      <x:c r="Y178" s="94"/>
      <x:c r="Z178" s="76"/>
      <x:c r="AA178" s="76"/>
      <x:c r="AB178" s="76"/>
      <x:c r="AC178" s="76"/>
      <x:c r="AD178" s="76"/>
      <x:c r="AE178" s="76"/>
      <x:c r="AF178" s="76"/>
      <x:c r="AG178" s="76"/>
      <x:c r="AH178" s="76"/>
      <x:c r="AI178" s="76"/>
      <x:c r="AJ178" s="76"/>
      <x:c r="AK178" s="76"/>
      <x:c r="AL178" s="76"/>
      <x:c r="AM178" s="76"/>
      <x:c r="AN178" s="76"/>
      <x:c r="AO178" s="76"/>
      <x:c r="AP178" s="76"/>
      <x:c r="AQ178" s="76"/>
      <x:c r="AR178" s="76"/>
      <x:c r="AS178" s="82" t="str">
        <x:f>IF(A178="","",IF(OR(E178="NOT APPLICABLE",E178="PREMISES UNRESOLVED"),"N/A",IF(OR(AND(F178&lt;&gt;"NO EVIDENCE",F178&lt;&gt;"NOT APPLICABLE",OR(AG178="",AH178="",AI178="",AJ178="",AG178="SYSTEM INFERENCE",AG178="ABSTRACT ONLY",AG178="SECONDARY REPORT",AG178="UNVERIFIED",AI178="Exact locator needed",AI178="HAU forum framing; exact target locator needed",AI178="Forum exchange; exact locator needed")),AND(G178&lt;&gt;"NO EVIDENCE",G178&lt;&gt;"NOT APPLICABLE",OR(AK178="",AL178="",AM178="",AN178="",AK178="SYSTEM INFERENCE",AK178="ABSTRACT ONLY",AK178="SECONDARY REPORT",AK178="UNVERIFIED",AM178="Exact locator needed",AM178="HAU forum framing; exact target locator needed",AM178="Forum exchange; exact locator needed"))),"EVIDENCE DEBT","READY")))</x:f>
      </x:c>
      <x:c r="AT178" s="77"/>
    </x:row>
    <x:row r="179" ht="24" customHeight="1">
      <x:c r="A179" s="85"/>
      <x:c r="B179" s="73"/>
      <x:c r="C179" s="89"/>
      <x:c r="D179" s="82" t="str">
        <x:f>IF(C179="","",IFERROR(VLOOKUP(C179,'Database controls'!$A$5:$B$20,2,FALSE),"NEW / UNCATEGORIZED"))</x:f>
      </x:c>
      <x:c r="E179" s="73"/>
      <x:c r="F179" s="73"/>
      <x:c r="G179" s="73"/>
      <x:c r="H179" s="82" t="str">
        <x:f>IF(A179="","",IF(OR(F179="REJECTS",G179="REJECTS"),"OUTSIDE / EXCOMMUNICABLE",IF(AND(OR(F179="RETAINS",F179="RETAINS WITH QUALIFICATION"),OR(G179="RETAINS",G179="RETAINS WITH QUALIFICATION")),"INTERNAL GORGONWARS",IF(AND(F179="NOT APPLICABLE",G179="NOT APPLICABLE"),"NOT APPLICABLE","PREMISES UNRESOLVED"))))</x:f>
      </x:c>
      <x:c r="I179" s="82" t="str">
        <x:f>IF(A179="","",IF(E179=H179,"OK",IF(AO179&lt;&gt;"","OVERRIDDEN","REVIEW")))</x:f>
      </x:c>
      <x:c r="J179" s="73"/>
      <x:c r="K179" s="73"/>
      <x:c r="L179" s="73"/>
      <x:c r="M179" s="73"/>
      <x:c r="N179" s="89"/>
      <x:c r="O179" s="73"/>
      <x:c r="P179" s="73"/>
      <x:c r="Q179" s="73"/>
      <x:c r="R179" s="73"/>
      <x:c r="S179" s="73"/>
      <x:c r="T179" s="73"/>
      <x:c r="U179" s="73"/>
      <x:c r="V179" s="73"/>
      <x:c r="W179" s="73"/>
      <x:c r="X179" s="93"/>
      <x:c r="Y179" s="93"/>
      <x:c r="Z179" s="73"/>
      <x:c r="AA179" s="73"/>
      <x:c r="AB179" s="73"/>
      <x:c r="AC179" s="73"/>
      <x:c r="AD179" s="73"/>
      <x:c r="AE179" s="73"/>
      <x:c r="AF179" s="73"/>
      <x:c r="AG179" s="73"/>
      <x:c r="AH179" s="73"/>
      <x:c r="AI179" s="73"/>
      <x:c r="AJ179" s="73"/>
      <x:c r="AK179" s="73"/>
      <x:c r="AL179" s="73"/>
      <x:c r="AM179" s="73"/>
      <x:c r="AN179" s="73"/>
      <x:c r="AO179" s="73"/>
      <x:c r="AP179" s="73"/>
      <x:c r="AQ179" s="73"/>
      <x:c r="AR179" s="73"/>
      <x:c r="AS179" s="82" t="str">
        <x:f>IF(A179="","",IF(OR(E179="NOT APPLICABLE",E179="PREMISES UNRESOLVED"),"N/A",IF(OR(AND(F179&lt;&gt;"NO EVIDENCE",F179&lt;&gt;"NOT APPLICABLE",OR(AG179="",AH179="",AI179="",AJ179="",AG179="SYSTEM INFERENCE",AG179="ABSTRACT ONLY",AG179="SECONDARY REPORT",AG179="UNVERIFIED",AI179="Exact locator needed",AI179="HAU forum framing; exact target locator needed",AI179="Forum exchange; exact locator needed")),AND(G179&lt;&gt;"NO EVIDENCE",G179&lt;&gt;"NOT APPLICABLE",OR(AK179="",AL179="",AM179="",AN179="",AK179="SYSTEM INFERENCE",AK179="ABSTRACT ONLY",AK179="SECONDARY REPORT",AK179="UNVERIFIED",AM179="Exact locator needed",AM179="HAU forum framing; exact target locator needed",AM179="Forum exchange; exact locator needed"))),"EVIDENCE DEBT","READY")))</x:f>
      </x:c>
      <x:c r="AT179" s="74"/>
    </x:row>
    <x:row r="180" ht="24" customHeight="1">
      <x:c r="A180" s="86"/>
      <x:c r="B180" s="76"/>
      <x:c r="C180" s="90"/>
      <x:c r="D180" s="82" t="str">
        <x:f>IF(C180="","",IFERROR(VLOOKUP(C180,'Database controls'!$A$5:$B$20,2,FALSE),"NEW / UNCATEGORIZED"))</x:f>
      </x:c>
      <x:c r="E180" s="76"/>
      <x:c r="F180" s="76"/>
      <x:c r="G180" s="76"/>
      <x:c r="H180" s="82" t="str">
        <x:f>IF(A180="","",IF(OR(F180="REJECTS",G180="REJECTS"),"OUTSIDE / EXCOMMUNICABLE",IF(AND(OR(F180="RETAINS",F180="RETAINS WITH QUALIFICATION"),OR(G180="RETAINS",G180="RETAINS WITH QUALIFICATION")),"INTERNAL GORGONWARS",IF(AND(F180="NOT APPLICABLE",G180="NOT APPLICABLE"),"NOT APPLICABLE","PREMISES UNRESOLVED"))))</x:f>
      </x:c>
      <x:c r="I180" s="82" t="str">
        <x:f>IF(A180="","",IF(E180=H180,"OK",IF(AO180&lt;&gt;"","OVERRIDDEN","REVIEW")))</x:f>
      </x:c>
      <x:c r="J180" s="76"/>
      <x:c r="K180" s="76"/>
      <x:c r="L180" s="76"/>
      <x:c r="M180" s="76"/>
      <x:c r="N180" s="90"/>
      <x:c r="O180" s="76"/>
      <x:c r="P180" s="76"/>
      <x:c r="Q180" s="76"/>
      <x:c r="R180" s="76"/>
      <x:c r="S180" s="76"/>
      <x:c r="T180" s="76"/>
      <x:c r="U180" s="76"/>
      <x:c r="V180" s="76"/>
      <x:c r="W180" s="76"/>
      <x:c r="X180" s="94"/>
      <x:c r="Y180" s="94"/>
      <x:c r="Z180" s="76"/>
      <x:c r="AA180" s="76"/>
      <x:c r="AB180" s="76"/>
      <x:c r="AC180" s="76"/>
      <x:c r="AD180" s="76"/>
      <x:c r="AE180" s="76"/>
      <x:c r="AF180" s="76"/>
      <x:c r="AG180" s="76"/>
      <x:c r="AH180" s="76"/>
      <x:c r="AI180" s="76"/>
      <x:c r="AJ180" s="76"/>
      <x:c r="AK180" s="76"/>
      <x:c r="AL180" s="76"/>
      <x:c r="AM180" s="76"/>
      <x:c r="AN180" s="76"/>
      <x:c r="AO180" s="76"/>
      <x:c r="AP180" s="76"/>
      <x:c r="AQ180" s="76"/>
      <x:c r="AR180" s="76"/>
      <x:c r="AS180" s="82" t="str">
        <x:f>IF(A180="","",IF(OR(E180="NOT APPLICABLE",E180="PREMISES UNRESOLVED"),"N/A",IF(OR(AND(F180&lt;&gt;"NO EVIDENCE",F180&lt;&gt;"NOT APPLICABLE",OR(AG180="",AH180="",AI180="",AJ180="",AG180="SYSTEM INFERENCE",AG180="ABSTRACT ONLY",AG180="SECONDARY REPORT",AG180="UNVERIFIED",AI180="Exact locator needed",AI180="HAU forum framing; exact target locator needed",AI180="Forum exchange; exact locator needed")),AND(G180&lt;&gt;"NO EVIDENCE",G180&lt;&gt;"NOT APPLICABLE",OR(AK180="",AL180="",AM180="",AN180="",AK180="SYSTEM INFERENCE",AK180="ABSTRACT ONLY",AK180="SECONDARY REPORT",AK180="UNVERIFIED",AM180="Exact locator needed",AM180="HAU forum framing; exact target locator needed",AM180="Forum exchange; exact locator needed"))),"EVIDENCE DEBT","READY")))</x:f>
      </x:c>
      <x:c r="AT180" s="77"/>
    </x:row>
    <x:row r="181" ht="24" customHeight="1">
      <x:c r="A181" s="85"/>
      <x:c r="B181" s="73"/>
      <x:c r="C181" s="89"/>
      <x:c r="D181" s="82" t="str">
        <x:f>IF(C181="","",IFERROR(VLOOKUP(C181,'Database controls'!$A$5:$B$20,2,FALSE),"NEW / UNCATEGORIZED"))</x:f>
      </x:c>
      <x:c r="E181" s="73"/>
      <x:c r="F181" s="73"/>
      <x:c r="G181" s="73"/>
      <x:c r="H181" s="82" t="str">
        <x:f>IF(A181="","",IF(OR(F181="REJECTS",G181="REJECTS"),"OUTSIDE / EXCOMMUNICABLE",IF(AND(OR(F181="RETAINS",F181="RETAINS WITH QUALIFICATION"),OR(G181="RETAINS",G181="RETAINS WITH QUALIFICATION")),"INTERNAL GORGONWARS",IF(AND(F181="NOT APPLICABLE",G181="NOT APPLICABLE"),"NOT APPLICABLE","PREMISES UNRESOLVED"))))</x:f>
      </x:c>
      <x:c r="I181" s="82" t="str">
        <x:f>IF(A181="","",IF(E181=H181,"OK",IF(AO181&lt;&gt;"","OVERRIDDEN","REVIEW")))</x:f>
      </x:c>
      <x:c r="J181" s="73"/>
      <x:c r="K181" s="73"/>
      <x:c r="L181" s="73"/>
      <x:c r="M181" s="73"/>
      <x:c r="N181" s="89"/>
      <x:c r="O181" s="73"/>
      <x:c r="P181" s="73"/>
      <x:c r="Q181" s="73"/>
      <x:c r="R181" s="73"/>
      <x:c r="S181" s="73"/>
      <x:c r="T181" s="73"/>
      <x:c r="U181" s="73"/>
      <x:c r="V181" s="73"/>
      <x:c r="W181" s="73"/>
      <x:c r="X181" s="93"/>
      <x:c r="Y181" s="93"/>
      <x:c r="Z181" s="73"/>
      <x:c r="AA181" s="73"/>
      <x:c r="AB181" s="73"/>
      <x:c r="AC181" s="73"/>
      <x:c r="AD181" s="73"/>
      <x:c r="AE181" s="73"/>
      <x:c r="AF181" s="73"/>
      <x:c r="AG181" s="73"/>
      <x:c r="AH181" s="73"/>
      <x:c r="AI181" s="73"/>
      <x:c r="AJ181" s="73"/>
      <x:c r="AK181" s="73"/>
      <x:c r="AL181" s="73"/>
      <x:c r="AM181" s="73"/>
      <x:c r="AN181" s="73"/>
      <x:c r="AO181" s="73"/>
      <x:c r="AP181" s="73"/>
      <x:c r="AQ181" s="73"/>
      <x:c r="AR181" s="73"/>
      <x:c r="AS181" s="82" t="str">
        <x:f>IF(A181="","",IF(OR(E181="NOT APPLICABLE",E181="PREMISES UNRESOLVED"),"N/A",IF(OR(AND(F181&lt;&gt;"NO EVIDENCE",F181&lt;&gt;"NOT APPLICABLE",OR(AG181="",AH181="",AI181="",AJ181="",AG181="SYSTEM INFERENCE",AG181="ABSTRACT ONLY",AG181="SECONDARY REPORT",AG181="UNVERIFIED",AI181="Exact locator needed",AI181="HAU forum framing; exact target locator needed",AI181="Forum exchange; exact locator needed")),AND(G181&lt;&gt;"NO EVIDENCE",G181&lt;&gt;"NOT APPLICABLE",OR(AK181="",AL181="",AM181="",AN181="",AK181="SYSTEM INFERENCE",AK181="ABSTRACT ONLY",AK181="SECONDARY REPORT",AK181="UNVERIFIED",AM181="Exact locator needed",AM181="HAU forum framing; exact target locator needed",AM181="Forum exchange; exact locator needed"))),"EVIDENCE DEBT","READY")))</x:f>
      </x:c>
      <x:c r="AT181" s="74"/>
    </x:row>
    <x:row r="182" ht="24" customHeight="1">
      <x:c r="A182" s="86"/>
      <x:c r="B182" s="76"/>
      <x:c r="C182" s="90"/>
      <x:c r="D182" s="82" t="str">
        <x:f>IF(C182="","",IFERROR(VLOOKUP(C182,'Database controls'!$A$5:$B$20,2,FALSE),"NEW / UNCATEGORIZED"))</x:f>
      </x:c>
      <x:c r="E182" s="76"/>
      <x:c r="F182" s="76"/>
      <x:c r="G182" s="76"/>
      <x:c r="H182" s="82" t="str">
        <x:f>IF(A182="","",IF(OR(F182="REJECTS",G182="REJECTS"),"OUTSIDE / EXCOMMUNICABLE",IF(AND(OR(F182="RETAINS",F182="RETAINS WITH QUALIFICATION"),OR(G182="RETAINS",G182="RETAINS WITH QUALIFICATION")),"INTERNAL GORGONWARS",IF(AND(F182="NOT APPLICABLE",G182="NOT APPLICABLE"),"NOT APPLICABLE","PREMISES UNRESOLVED"))))</x:f>
      </x:c>
      <x:c r="I182" s="82" t="str">
        <x:f>IF(A182="","",IF(E182=H182,"OK",IF(AO182&lt;&gt;"","OVERRIDDEN","REVIEW")))</x:f>
      </x:c>
      <x:c r="J182" s="76"/>
      <x:c r="K182" s="76"/>
      <x:c r="L182" s="76"/>
      <x:c r="M182" s="76"/>
      <x:c r="N182" s="90"/>
      <x:c r="O182" s="76"/>
      <x:c r="P182" s="76"/>
      <x:c r="Q182" s="76"/>
      <x:c r="R182" s="76"/>
      <x:c r="S182" s="76"/>
      <x:c r="T182" s="76"/>
      <x:c r="U182" s="76"/>
      <x:c r="V182" s="76"/>
      <x:c r="W182" s="76"/>
      <x:c r="X182" s="94"/>
      <x:c r="Y182" s="94"/>
      <x:c r="Z182" s="76"/>
      <x:c r="AA182" s="76"/>
      <x:c r="AB182" s="76"/>
      <x:c r="AC182" s="76"/>
      <x:c r="AD182" s="76"/>
      <x:c r="AE182" s="76"/>
      <x:c r="AF182" s="76"/>
      <x:c r="AG182" s="76"/>
      <x:c r="AH182" s="76"/>
      <x:c r="AI182" s="76"/>
      <x:c r="AJ182" s="76"/>
      <x:c r="AK182" s="76"/>
      <x:c r="AL182" s="76"/>
      <x:c r="AM182" s="76"/>
      <x:c r="AN182" s="76"/>
      <x:c r="AO182" s="76"/>
      <x:c r="AP182" s="76"/>
      <x:c r="AQ182" s="76"/>
      <x:c r="AR182" s="76"/>
      <x:c r="AS182" s="82" t="str">
        <x:f>IF(A182="","",IF(OR(E182="NOT APPLICABLE",E182="PREMISES UNRESOLVED"),"N/A",IF(OR(AND(F182&lt;&gt;"NO EVIDENCE",F182&lt;&gt;"NOT APPLICABLE",OR(AG182="",AH182="",AI182="",AJ182="",AG182="SYSTEM INFERENCE",AG182="ABSTRACT ONLY",AG182="SECONDARY REPORT",AG182="UNVERIFIED",AI182="Exact locator needed",AI182="HAU forum framing; exact target locator needed",AI182="Forum exchange; exact locator needed")),AND(G182&lt;&gt;"NO EVIDENCE",G182&lt;&gt;"NOT APPLICABLE",OR(AK182="",AL182="",AM182="",AN182="",AK182="SYSTEM INFERENCE",AK182="ABSTRACT ONLY",AK182="SECONDARY REPORT",AK182="UNVERIFIED",AM182="Exact locator needed",AM182="HAU forum framing; exact target locator needed",AM182="Forum exchange; exact locator needed"))),"EVIDENCE DEBT","READY")))</x:f>
      </x:c>
      <x:c r="AT182" s="77"/>
    </x:row>
    <x:row r="183" ht="24" customHeight="1">
      <x:c r="A183" s="85"/>
      <x:c r="B183" s="73"/>
      <x:c r="C183" s="89"/>
      <x:c r="D183" s="82" t="str">
        <x:f>IF(C183="","",IFERROR(VLOOKUP(C183,'Database controls'!$A$5:$B$20,2,FALSE),"NEW / UNCATEGORIZED"))</x:f>
      </x:c>
      <x:c r="E183" s="73"/>
      <x:c r="F183" s="73"/>
      <x:c r="G183" s="73"/>
      <x:c r="H183" s="82" t="str">
        <x:f>IF(A183="","",IF(OR(F183="REJECTS",G183="REJECTS"),"OUTSIDE / EXCOMMUNICABLE",IF(AND(OR(F183="RETAINS",F183="RETAINS WITH QUALIFICATION"),OR(G183="RETAINS",G183="RETAINS WITH QUALIFICATION")),"INTERNAL GORGONWARS",IF(AND(F183="NOT APPLICABLE",G183="NOT APPLICABLE"),"NOT APPLICABLE","PREMISES UNRESOLVED"))))</x:f>
      </x:c>
      <x:c r="I183" s="82" t="str">
        <x:f>IF(A183="","",IF(E183=H183,"OK",IF(AO183&lt;&gt;"","OVERRIDDEN","REVIEW")))</x:f>
      </x:c>
      <x:c r="J183" s="73"/>
      <x:c r="K183" s="73"/>
      <x:c r="L183" s="73"/>
      <x:c r="M183" s="73"/>
      <x:c r="N183" s="89"/>
      <x:c r="O183" s="73"/>
      <x:c r="P183" s="73"/>
      <x:c r="Q183" s="73"/>
      <x:c r="R183" s="73"/>
      <x:c r="S183" s="73"/>
      <x:c r="T183" s="73"/>
      <x:c r="U183" s="73"/>
      <x:c r="V183" s="73"/>
      <x:c r="W183" s="73"/>
      <x:c r="X183" s="93"/>
      <x:c r="Y183" s="93"/>
      <x:c r="Z183" s="73"/>
      <x:c r="AA183" s="73"/>
      <x:c r="AB183" s="73"/>
      <x:c r="AC183" s="73"/>
      <x:c r="AD183" s="73"/>
      <x:c r="AE183" s="73"/>
      <x:c r="AF183" s="73"/>
      <x:c r="AG183" s="73"/>
      <x:c r="AH183" s="73"/>
      <x:c r="AI183" s="73"/>
      <x:c r="AJ183" s="73"/>
      <x:c r="AK183" s="73"/>
      <x:c r="AL183" s="73"/>
      <x:c r="AM183" s="73"/>
      <x:c r="AN183" s="73"/>
      <x:c r="AO183" s="73"/>
      <x:c r="AP183" s="73"/>
      <x:c r="AQ183" s="73"/>
      <x:c r="AR183" s="73"/>
      <x:c r="AS183" s="82" t="str">
        <x:f>IF(A183="","",IF(OR(E183="NOT APPLICABLE",E183="PREMISES UNRESOLVED"),"N/A",IF(OR(AND(F183&lt;&gt;"NO EVIDENCE",F183&lt;&gt;"NOT APPLICABLE",OR(AG183="",AH183="",AI183="",AJ183="",AG183="SYSTEM INFERENCE",AG183="ABSTRACT ONLY",AG183="SECONDARY REPORT",AG183="UNVERIFIED",AI183="Exact locator needed",AI183="HAU forum framing; exact target locator needed",AI183="Forum exchange; exact locator needed")),AND(G183&lt;&gt;"NO EVIDENCE",G183&lt;&gt;"NOT APPLICABLE",OR(AK183="",AL183="",AM183="",AN183="",AK183="SYSTEM INFERENCE",AK183="ABSTRACT ONLY",AK183="SECONDARY REPORT",AK183="UNVERIFIED",AM183="Exact locator needed",AM183="HAU forum framing; exact target locator needed",AM183="Forum exchange; exact locator needed"))),"EVIDENCE DEBT","READY")))</x:f>
      </x:c>
      <x:c r="AT183" s="74"/>
    </x:row>
    <x:row r="184" ht="24" customHeight="1">
      <x:c r="A184" s="86"/>
      <x:c r="B184" s="76"/>
      <x:c r="C184" s="90"/>
      <x:c r="D184" s="82" t="str">
        <x:f>IF(C184="","",IFERROR(VLOOKUP(C184,'Database controls'!$A$5:$B$20,2,FALSE),"NEW / UNCATEGORIZED"))</x:f>
      </x:c>
      <x:c r="E184" s="76"/>
      <x:c r="F184" s="76"/>
      <x:c r="G184" s="76"/>
      <x:c r="H184" s="82" t="str">
        <x:f>IF(A184="","",IF(OR(F184="REJECTS",G184="REJECTS"),"OUTSIDE / EXCOMMUNICABLE",IF(AND(OR(F184="RETAINS",F184="RETAINS WITH QUALIFICATION"),OR(G184="RETAINS",G184="RETAINS WITH QUALIFICATION")),"INTERNAL GORGONWARS",IF(AND(F184="NOT APPLICABLE",G184="NOT APPLICABLE"),"NOT APPLICABLE","PREMISES UNRESOLVED"))))</x:f>
      </x:c>
      <x:c r="I184" s="82" t="str">
        <x:f>IF(A184="","",IF(E184=H184,"OK",IF(AO184&lt;&gt;"","OVERRIDDEN","REVIEW")))</x:f>
      </x:c>
      <x:c r="J184" s="76"/>
      <x:c r="K184" s="76"/>
      <x:c r="L184" s="76"/>
      <x:c r="M184" s="76"/>
      <x:c r="N184" s="90"/>
      <x:c r="O184" s="76"/>
      <x:c r="P184" s="76"/>
      <x:c r="Q184" s="76"/>
      <x:c r="R184" s="76"/>
      <x:c r="S184" s="76"/>
      <x:c r="T184" s="76"/>
      <x:c r="U184" s="76"/>
      <x:c r="V184" s="76"/>
      <x:c r="W184" s="76"/>
      <x:c r="X184" s="94"/>
      <x:c r="Y184" s="94"/>
      <x:c r="Z184" s="76"/>
      <x:c r="AA184" s="76"/>
      <x:c r="AB184" s="76"/>
      <x:c r="AC184" s="76"/>
      <x:c r="AD184" s="76"/>
      <x:c r="AE184" s="76"/>
      <x:c r="AF184" s="76"/>
      <x:c r="AG184" s="76"/>
      <x:c r="AH184" s="76"/>
      <x:c r="AI184" s="76"/>
      <x:c r="AJ184" s="76"/>
      <x:c r="AK184" s="76"/>
      <x:c r="AL184" s="76"/>
      <x:c r="AM184" s="76"/>
      <x:c r="AN184" s="76"/>
      <x:c r="AO184" s="76"/>
      <x:c r="AP184" s="76"/>
      <x:c r="AQ184" s="76"/>
      <x:c r="AR184" s="76"/>
      <x:c r="AS184" s="82" t="str">
        <x:f>IF(A184="","",IF(OR(E184="NOT APPLICABLE",E184="PREMISES UNRESOLVED"),"N/A",IF(OR(AND(F184&lt;&gt;"NO EVIDENCE",F184&lt;&gt;"NOT APPLICABLE",OR(AG184="",AH184="",AI184="",AJ184="",AG184="SYSTEM INFERENCE",AG184="ABSTRACT ONLY",AG184="SECONDARY REPORT",AG184="UNVERIFIED",AI184="Exact locator needed",AI184="HAU forum framing; exact target locator needed",AI184="Forum exchange; exact locator needed")),AND(G184&lt;&gt;"NO EVIDENCE",G184&lt;&gt;"NOT APPLICABLE",OR(AK184="",AL184="",AM184="",AN184="",AK184="SYSTEM INFERENCE",AK184="ABSTRACT ONLY",AK184="SECONDARY REPORT",AK184="UNVERIFIED",AM184="Exact locator needed",AM184="HAU forum framing; exact target locator needed",AM184="Forum exchange; exact locator needed"))),"EVIDENCE DEBT","READY")))</x:f>
      </x:c>
      <x:c r="AT184" s="77"/>
    </x:row>
    <x:row r="185" ht="24" customHeight="1">
      <x:c r="A185" s="85"/>
      <x:c r="B185" s="73"/>
      <x:c r="C185" s="89"/>
      <x:c r="D185" s="82" t="str">
        <x:f>IF(C185="","",IFERROR(VLOOKUP(C185,'Database controls'!$A$5:$B$20,2,FALSE),"NEW / UNCATEGORIZED"))</x:f>
      </x:c>
      <x:c r="E185" s="73"/>
      <x:c r="F185" s="73"/>
      <x:c r="G185" s="73"/>
      <x:c r="H185" s="82" t="str">
        <x:f>IF(A185="","",IF(OR(F185="REJECTS",G185="REJECTS"),"OUTSIDE / EXCOMMUNICABLE",IF(AND(OR(F185="RETAINS",F185="RETAINS WITH QUALIFICATION"),OR(G185="RETAINS",G185="RETAINS WITH QUALIFICATION")),"INTERNAL GORGONWARS",IF(AND(F185="NOT APPLICABLE",G185="NOT APPLICABLE"),"NOT APPLICABLE","PREMISES UNRESOLVED"))))</x:f>
      </x:c>
      <x:c r="I185" s="82" t="str">
        <x:f>IF(A185="","",IF(E185=H185,"OK",IF(AO185&lt;&gt;"","OVERRIDDEN","REVIEW")))</x:f>
      </x:c>
      <x:c r="J185" s="73"/>
      <x:c r="K185" s="73"/>
      <x:c r="L185" s="73"/>
      <x:c r="M185" s="73"/>
      <x:c r="N185" s="89"/>
      <x:c r="O185" s="73"/>
      <x:c r="P185" s="73"/>
      <x:c r="Q185" s="73"/>
      <x:c r="R185" s="73"/>
      <x:c r="S185" s="73"/>
      <x:c r="T185" s="73"/>
      <x:c r="U185" s="73"/>
      <x:c r="V185" s="73"/>
      <x:c r="W185" s="73"/>
      <x:c r="X185" s="93"/>
      <x:c r="Y185" s="93"/>
      <x:c r="Z185" s="73"/>
      <x:c r="AA185" s="73"/>
      <x:c r="AB185" s="73"/>
      <x:c r="AC185" s="73"/>
      <x:c r="AD185" s="73"/>
      <x:c r="AE185" s="73"/>
      <x:c r="AF185" s="73"/>
      <x:c r="AG185" s="73"/>
      <x:c r="AH185" s="73"/>
      <x:c r="AI185" s="73"/>
      <x:c r="AJ185" s="73"/>
      <x:c r="AK185" s="73"/>
      <x:c r="AL185" s="73"/>
      <x:c r="AM185" s="73"/>
      <x:c r="AN185" s="73"/>
      <x:c r="AO185" s="73"/>
      <x:c r="AP185" s="73"/>
      <x:c r="AQ185" s="73"/>
      <x:c r="AR185" s="73"/>
      <x:c r="AS185" s="82" t="str">
        <x:f>IF(A185="","",IF(OR(E185="NOT APPLICABLE",E185="PREMISES UNRESOLVED"),"N/A",IF(OR(AND(F185&lt;&gt;"NO EVIDENCE",F185&lt;&gt;"NOT APPLICABLE",OR(AG185="",AH185="",AI185="",AJ185="",AG185="SYSTEM INFERENCE",AG185="ABSTRACT ONLY",AG185="SECONDARY REPORT",AG185="UNVERIFIED",AI185="Exact locator needed",AI185="HAU forum framing; exact target locator needed",AI185="Forum exchange; exact locator needed")),AND(G185&lt;&gt;"NO EVIDENCE",G185&lt;&gt;"NOT APPLICABLE",OR(AK185="",AL185="",AM185="",AN185="",AK185="SYSTEM INFERENCE",AK185="ABSTRACT ONLY",AK185="SECONDARY REPORT",AK185="UNVERIFIED",AM185="Exact locator needed",AM185="HAU forum framing; exact target locator needed",AM185="Forum exchange; exact locator needed"))),"EVIDENCE DEBT","READY")))</x:f>
      </x:c>
      <x:c r="AT185" s="74"/>
    </x:row>
    <x:row r="186" ht="24" customHeight="1">
      <x:c r="A186" s="86"/>
      <x:c r="B186" s="76"/>
      <x:c r="C186" s="90"/>
      <x:c r="D186" s="82" t="str">
        <x:f>IF(C186="","",IFERROR(VLOOKUP(C186,'Database controls'!$A$5:$B$20,2,FALSE),"NEW / UNCATEGORIZED"))</x:f>
      </x:c>
      <x:c r="E186" s="76"/>
      <x:c r="F186" s="76"/>
      <x:c r="G186" s="76"/>
      <x:c r="H186" s="82" t="str">
        <x:f>IF(A186="","",IF(OR(F186="REJECTS",G186="REJECTS"),"OUTSIDE / EXCOMMUNICABLE",IF(AND(OR(F186="RETAINS",F186="RETAINS WITH QUALIFICATION"),OR(G186="RETAINS",G186="RETAINS WITH QUALIFICATION")),"INTERNAL GORGONWARS",IF(AND(F186="NOT APPLICABLE",G186="NOT APPLICABLE"),"NOT APPLICABLE","PREMISES UNRESOLVED"))))</x:f>
      </x:c>
      <x:c r="I186" s="82" t="str">
        <x:f>IF(A186="","",IF(E186=H186,"OK",IF(AO186&lt;&gt;"","OVERRIDDEN","REVIEW")))</x:f>
      </x:c>
      <x:c r="J186" s="76"/>
      <x:c r="K186" s="76"/>
      <x:c r="L186" s="76"/>
      <x:c r="M186" s="76"/>
      <x:c r="N186" s="90"/>
      <x:c r="O186" s="76"/>
      <x:c r="P186" s="76"/>
      <x:c r="Q186" s="76"/>
      <x:c r="R186" s="76"/>
      <x:c r="S186" s="76"/>
      <x:c r="T186" s="76"/>
      <x:c r="U186" s="76"/>
      <x:c r="V186" s="76"/>
      <x:c r="W186" s="76"/>
      <x:c r="X186" s="94"/>
      <x:c r="Y186" s="94"/>
      <x:c r="Z186" s="76"/>
      <x:c r="AA186" s="76"/>
      <x:c r="AB186" s="76"/>
      <x:c r="AC186" s="76"/>
      <x:c r="AD186" s="76"/>
      <x:c r="AE186" s="76"/>
      <x:c r="AF186" s="76"/>
      <x:c r="AG186" s="76"/>
      <x:c r="AH186" s="76"/>
      <x:c r="AI186" s="76"/>
      <x:c r="AJ186" s="76"/>
      <x:c r="AK186" s="76"/>
      <x:c r="AL186" s="76"/>
      <x:c r="AM186" s="76"/>
      <x:c r="AN186" s="76"/>
      <x:c r="AO186" s="76"/>
      <x:c r="AP186" s="76"/>
      <x:c r="AQ186" s="76"/>
      <x:c r="AR186" s="76"/>
      <x:c r="AS186" s="82" t="str">
        <x:f>IF(A186="","",IF(OR(E186="NOT APPLICABLE",E186="PREMISES UNRESOLVED"),"N/A",IF(OR(AND(F186&lt;&gt;"NO EVIDENCE",F186&lt;&gt;"NOT APPLICABLE",OR(AG186="",AH186="",AI186="",AJ186="",AG186="SYSTEM INFERENCE",AG186="ABSTRACT ONLY",AG186="SECONDARY REPORT",AG186="UNVERIFIED",AI186="Exact locator needed",AI186="HAU forum framing; exact target locator needed",AI186="Forum exchange; exact locator needed")),AND(G186&lt;&gt;"NO EVIDENCE",G186&lt;&gt;"NOT APPLICABLE",OR(AK186="",AL186="",AM186="",AN186="",AK186="SYSTEM INFERENCE",AK186="ABSTRACT ONLY",AK186="SECONDARY REPORT",AK186="UNVERIFIED",AM186="Exact locator needed",AM186="HAU forum framing; exact target locator needed",AM186="Forum exchange; exact locator needed"))),"EVIDENCE DEBT","READY")))</x:f>
      </x:c>
      <x:c r="AT186" s="77"/>
    </x:row>
    <x:row r="187" ht="24" customHeight="1">
      <x:c r="A187" s="85"/>
      <x:c r="B187" s="73"/>
      <x:c r="C187" s="89"/>
      <x:c r="D187" s="82" t="str">
        <x:f>IF(C187="","",IFERROR(VLOOKUP(C187,'Database controls'!$A$5:$B$20,2,FALSE),"NEW / UNCATEGORIZED"))</x:f>
      </x:c>
      <x:c r="E187" s="73"/>
      <x:c r="F187" s="73"/>
      <x:c r="G187" s="73"/>
      <x:c r="H187" s="82" t="str">
        <x:f>IF(A187="","",IF(OR(F187="REJECTS",G187="REJECTS"),"OUTSIDE / EXCOMMUNICABLE",IF(AND(OR(F187="RETAINS",F187="RETAINS WITH QUALIFICATION"),OR(G187="RETAINS",G187="RETAINS WITH QUALIFICATION")),"INTERNAL GORGONWARS",IF(AND(F187="NOT APPLICABLE",G187="NOT APPLICABLE"),"NOT APPLICABLE","PREMISES UNRESOLVED"))))</x:f>
      </x:c>
      <x:c r="I187" s="82" t="str">
        <x:f>IF(A187="","",IF(E187=H187,"OK",IF(AO187&lt;&gt;"","OVERRIDDEN","REVIEW")))</x:f>
      </x:c>
      <x:c r="J187" s="73"/>
      <x:c r="K187" s="73"/>
      <x:c r="L187" s="73"/>
      <x:c r="M187" s="73"/>
      <x:c r="N187" s="89"/>
      <x:c r="O187" s="73"/>
      <x:c r="P187" s="73"/>
      <x:c r="Q187" s="73"/>
      <x:c r="R187" s="73"/>
      <x:c r="S187" s="73"/>
      <x:c r="T187" s="73"/>
      <x:c r="U187" s="73"/>
      <x:c r="V187" s="73"/>
      <x:c r="W187" s="73"/>
      <x:c r="X187" s="93"/>
      <x:c r="Y187" s="93"/>
      <x:c r="Z187" s="73"/>
      <x:c r="AA187" s="73"/>
      <x:c r="AB187" s="73"/>
      <x:c r="AC187" s="73"/>
      <x:c r="AD187" s="73"/>
      <x:c r="AE187" s="73"/>
      <x:c r="AF187" s="73"/>
      <x:c r="AG187" s="73"/>
      <x:c r="AH187" s="73"/>
      <x:c r="AI187" s="73"/>
      <x:c r="AJ187" s="73"/>
      <x:c r="AK187" s="73"/>
      <x:c r="AL187" s="73"/>
      <x:c r="AM187" s="73"/>
      <x:c r="AN187" s="73"/>
      <x:c r="AO187" s="73"/>
      <x:c r="AP187" s="73"/>
      <x:c r="AQ187" s="73"/>
      <x:c r="AR187" s="73"/>
      <x:c r="AS187" s="82" t="str">
        <x:f>IF(A187="","",IF(OR(E187="NOT APPLICABLE",E187="PREMISES UNRESOLVED"),"N/A",IF(OR(AND(F187&lt;&gt;"NO EVIDENCE",F187&lt;&gt;"NOT APPLICABLE",OR(AG187="",AH187="",AI187="",AJ187="",AG187="SYSTEM INFERENCE",AG187="ABSTRACT ONLY",AG187="SECONDARY REPORT",AG187="UNVERIFIED",AI187="Exact locator needed",AI187="HAU forum framing; exact target locator needed",AI187="Forum exchange; exact locator needed")),AND(G187&lt;&gt;"NO EVIDENCE",G187&lt;&gt;"NOT APPLICABLE",OR(AK187="",AL187="",AM187="",AN187="",AK187="SYSTEM INFERENCE",AK187="ABSTRACT ONLY",AK187="SECONDARY REPORT",AK187="UNVERIFIED",AM187="Exact locator needed",AM187="HAU forum framing; exact target locator needed",AM187="Forum exchange; exact locator needed"))),"EVIDENCE DEBT","READY")))</x:f>
      </x:c>
      <x:c r="AT187" s="74"/>
    </x:row>
    <x:row r="188" ht="24" customHeight="1">
      <x:c r="A188" s="86"/>
      <x:c r="B188" s="76"/>
      <x:c r="C188" s="90"/>
      <x:c r="D188" s="82" t="str">
        <x:f>IF(C188="","",IFERROR(VLOOKUP(C188,'Database controls'!$A$5:$B$20,2,FALSE),"NEW / UNCATEGORIZED"))</x:f>
      </x:c>
      <x:c r="E188" s="76"/>
      <x:c r="F188" s="76"/>
      <x:c r="G188" s="76"/>
      <x:c r="H188" s="82" t="str">
        <x:f>IF(A188="","",IF(OR(F188="REJECTS",G188="REJECTS"),"OUTSIDE / EXCOMMUNICABLE",IF(AND(OR(F188="RETAINS",F188="RETAINS WITH QUALIFICATION"),OR(G188="RETAINS",G188="RETAINS WITH QUALIFICATION")),"INTERNAL GORGONWARS",IF(AND(F188="NOT APPLICABLE",G188="NOT APPLICABLE"),"NOT APPLICABLE","PREMISES UNRESOLVED"))))</x:f>
      </x:c>
      <x:c r="I188" s="82" t="str">
        <x:f>IF(A188="","",IF(E188=H188,"OK",IF(AO188&lt;&gt;"","OVERRIDDEN","REVIEW")))</x:f>
      </x:c>
      <x:c r="J188" s="76"/>
      <x:c r="K188" s="76"/>
      <x:c r="L188" s="76"/>
      <x:c r="M188" s="76"/>
      <x:c r="N188" s="90"/>
      <x:c r="O188" s="76"/>
      <x:c r="P188" s="76"/>
      <x:c r="Q188" s="76"/>
      <x:c r="R188" s="76"/>
      <x:c r="S188" s="76"/>
      <x:c r="T188" s="76"/>
      <x:c r="U188" s="76"/>
      <x:c r="V188" s="76"/>
      <x:c r="W188" s="76"/>
      <x:c r="X188" s="94"/>
      <x:c r="Y188" s="94"/>
      <x:c r="Z188" s="76"/>
      <x:c r="AA188" s="76"/>
      <x:c r="AB188" s="76"/>
      <x:c r="AC188" s="76"/>
      <x:c r="AD188" s="76"/>
      <x:c r="AE188" s="76"/>
      <x:c r="AF188" s="76"/>
      <x:c r="AG188" s="76"/>
      <x:c r="AH188" s="76"/>
      <x:c r="AI188" s="76"/>
      <x:c r="AJ188" s="76"/>
      <x:c r="AK188" s="76"/>
      <x:c r="AL188" s="76"/>
      <x:c r="AM188" s="76"/>
      <x:c r="AN188" s="76"/>
      <x:c r="AO188" s="76"/>
      <x:c r="AP188" s="76"/>
      <x:c r="AQ188" s="76"/>
      <x:c r="AR188" s="76"/>
      <x:c r="AS188" s="82" t="str">
        <x:f>IF(A188="","",IF(OR(E188="NOT APPLICABLE",E188="PREMISES UNRESOLVED"),"N/A",IF(OR(AND(F188&lt;&gt;"NO EVIDENCE",F188&lt;&gt;"NOT APPLICABLE",OR(AG188="",AH188="",AI188="",AJ188="",AG188="SYSTEM INFERENCE",AG188="ABSTRACT ONLY",AG188="SECONDARY REPORT",AG188="UNVERIFIED",AI188="Exact locator needed",AI188="HAU forum framing; exact target locator needed",AI188="Forum exchange; exact locator needed")),AND(G188&lt;&gt;"NO EVIDENCE",G188&lt;&gt;"NOT APPLICABLE",OR(AK188="",AL188="",AM188="",AN188="",AK188="SYSTEM INFERENCE",AK188="ABSTRACT ONLY",AK188="SECONDARY REPORT",AK188="UNVERIFIED",AM188="Exact locator needed",AM188="HAU forum framing; exact target locator needed",AM188="Forum exchange; exact locator needed"))),"EVIDENCE DEBT","READY")))</x:f>
      </x:c>
      <x:c r="AT188" s="77"/>
    </x:row>
    <x:row r="189" ht="24" customHeight="1">
      <x:c r="A189" s="85"/>
      <x:c r="B189" s="73"/>
      <x:c r="C189" s="89"/>
      <x:c r="D189" s="82" t="str">
        <x:f>IF(C189="","",IFERROR(VLOOKUP(C189,'Database controls'!$A$5:$B$20,2,FALSE),"NEW / UNCATEGORIZED"))</x:f>
      </x:c>
      <x:c r="E189" s="73"/>
      <x:c r="F189" s="73"/>
      <x:c r="G189" s="73"/>
      <x:c r="H189" s="82" t="str">
        <x:f>IF(A189="","",IF(OR(F189="REJECTS",G189="REJECTS"),"OUTSIDE / EXCOMMUNICABLE",IF(AND(OR(F189="RETAINS",F189="RETAINS WITH QUALIFICATION"),OR(G189="RETAINS",G189="RETAINS WITH QUALIFICATION")),"INTERNAL GORGONWARS",IF(AND(F189="NOT APPLICABLE",G189="NOT APPLICABLE"),"NOT APPLICABLE","PREMISES UNRESOLVED"))))</x:f>
      </x:c>
      <x:c r="I189" s="82" t="str">
        <x:f>IF(A189="","",IF(E189=H189,"OK",IF(AO189&lt;&gt;"","OVERRIDDEN","REVIEW")))</x:f>
      </x:c>
      <x:c r="J189" s="73"/>
      <x:c r="K189" s="73"/>
      <x:c r="L189" s="73"/>
      <x:c r="M189" s="73"/>
      <x:c r="N189" s="89"/>
      <x:c r="O189" s="73"/>
      <x:c r="P189" s="73"/>
      <x:c r="Q189" s="73"/>
      <x:c r="R189" s="73"/>
      <x:c r="S189" s="73"/>
      <x:c r="T189" s="73"/>
      <x:c r="U189" s="73"/>
      <x:c r="V189" s="73"/>
      <x:c r="W189" s="73"/>
      <x:c r="X189" s="93"/>
      <x:c r="Y189" s="93"/>
      <x:c r="Z189" s="73"/>
      <x:c r="AA189" s="73"/>
      <x:c r="AB189" s="73"/>
      <x:c r="AC189" s="73"/>
      <x:c r="AD189" s="73"/>
      <x:c r="AE189" s="73"/>
      <x:c r="AF189" s="73"/>
      <x:c r="AG189" s="73"/>
      <x:c r="AH189" s="73"/>
      <x:c r="AI189" s="73"/>
      <x:c r="AJ189" s="73"/>
      <x:c r="AK189" s="73"/>
      <x:c r="AL189" s="73"/>
      <x:c r="AM189" s="73"/>
      <x:c r="AN189" s="73"/>
      <x:c r="AO189" s="73"/>
      <x:c r="AP189" s="73"/>
      <x:c r="AQ189" s="73"/>
      <x:c r="AR189" s="73"/>
      <x:c r="AS189" s="82" t="str">
        <x:f>IF(A189="","",IF(OR(E189="NOT APPLICABLE",E189="PREMISES UNRESOLVED"),"N/A",IF(OR(AND(F189&lt;&gt;"NO EVIDENCE",F189&lt;&gt;"NOT APPLICABLE",OR(AG189="",AH189="",AI189="",AJ189="",AG189="SYSTEM INFERENCE",AG189="ABSTRACT ONLY",AG189="SECONDARY REPORT",AG189="UNVERIFIED",AI189="Exact locator needed",AI189="HAU forum framing; exact target locator needed",AI189="Forum exchange; exact locator needed")),AND(G189&lt;&gt;"NO EVIDENCE",G189&lt;&gt;"NOT APPLICABLE",OR(AK189="",AL189="",AM189="",AN189="",AK189="SYSTEM INFERENCE",AK189="ABSTRACT ONLY",AK189="SECONDARY REPORT",AK189="UNVERIFIED",AM189="Exact locator needed",AM189="HAU forum framing; exact target locator needed",AM189="Forum exchange; exact locator needed"))),"EVIDENCE DEBT","READY")))</x:f>
      </x:c>
      <x:c r="AT189" s="74"/>
    </x:row>
    <x:row r="190" ht="24" customHeight="1">
      <x:c r="A190" s="86"/>
      <x:c r="B190" s="76"/>
      <x:c r="C190" s="90"/>
      <x:c r="D190" s="82" t="str">
        <x:f>IF(C190="","",IFERROR(VLOOKUP(C190,'Database controls'!$A$5:$B$20,2,FALSE),"NEW / UNCATEGORIZED"))</x:f>
      </x:c>
      <x:c r="E190" s="76"/>
      <x:c r="F190" s="76"/>
      <x:c r="G190" s="76"/>
      <x:c r="H190" s="82" t="str">
        <x:f>IF(A190="","",IF(OR(F190="REJECTS",G190="REJECTS"),"OUTSIDE / EXCOMMUNICABLE",IF(AND(OR(F190="RETAINS",F190="RETAINS WITH QUALIFICATION"),OR(G190="RETAINS",G190="RETAINS WITH QUALIFICATION")),"INTERNAL GORGONWARS",IF(AND(F190="NOT APPLICABLE",G190="NOT APPLICABLE"),"NOT APPLICABLE","PREMISES UNRESOLVED"))))</x:f>
      </x:c>
      <x:c r="I190" s="82" t="str">
        <x:f>IF(A190="","",IF(E190=H190,"OK",IF(AO190&lt;&gt;"","OVERRIDDEN","REVIEW")))</x:f>
      </x:c>
      <x:c r="J190" s="76"/>
      <x:c r="K190" s="76"/>
      <x:c r="L190" s="76"/>
      <x:c r="M190" s="76"/>
      <x:c r="N190" s="90"/>
      <x:c r="O190" s="76"/>
      <x:c r="P190" s="76"/>
      <x:c r="Q190" s="76"/>
      <x:c r="R190" s="76"/>
      <x:c r="S190" s="76"/>
      <x:c r="T190" s="76"/>
      <x:c r="U190" s="76"/>
      <x:c r="V190" s="76"/>
      <x:c r="W190" s="76"/>
      <x:c r="X190" s="94"/>
      <x:c r="Y190" s="94"/>
      <x:c r="Z190" s="76"/>
      <x:c r="AA190" s="76"/>
      <x:c r="AB190" s="76"/>
      <x:c r="AC190" s="76"/>
      <x:c r="AD190" s="76"/>
      <x:c r="AE190" s="76"/>
      <x:c r="AF190" s="76"/>
      <x:c r="AG190" s="76"/>
      <x:c r="AH190" s="76"/>
      <x:c r="AI190" s="76"/>
      <x:c r="AJ190" s="76"/>
      <x:c r="AK190" s="76"/>
      <x:c r="AL190" s="76"/>
      <x:c r="AM190" s="76"/>
      <x:c r="AN190" s="76"/>
      <x:c r="AO190" s="76"/>
      <x:c r="AP190" s="76"/>
      <x:c r="AQ190" s="76"/>
      <x:c r="AR190" s="76"/>
      <x:c r="AS190" s="82" t="str">
        <x:f>IF(A190="","",IF(OR(E190="NOT APPLICABLE",E190="PREMISES UNRESOLVED"),"N/A",IF(OR(AND(F190&lt;&gt;"NO EVIDENCE",F190&lt;&gt;"NOT APPLICABLE",OR(AG190="",AH190="",AI190="",AJ190="",AG190="SYSTEM INFERENCE",AG190="ABSTRACT ONLY",AG190="SECONDARY REPORT",AG190="UNVERIFIED",AI190="Exact locator needed",AI190="HAU forum framing; exact target locator needed",AI190="Forum exchange; exact locator needed")),AND(G190&lt;&gt;"NO EVIDENCE",G190&lt;&gt;"NOT APPLICABLE",OR(AK190="",AL190="",AM190="",AN190="",AK190="SYSTEM INFERENCE",AK190="ABSTRACT ONLY",AK190="SECONDARY REPORT",AK190="UNVERIFIED",AM190="Exact locator needed",AM190="HAU forum framing; exact target locator needed",AM190="Forum exchange; exact locator needed"))),"EVIDENCE DEBT","READY")))</x:f>
      </x:c>
      <x:c r="AT190" s="77"/>
    </x:row>
    <x:row r="191" ht="24" customHeight="1">
      <x:c r="A191" s="85"/>
      <x:c r="B191" s="73"/>
      <x:c r="C191" s="89"/>
      <x:c r="D191" s="82" t="str">
        <x:f>IF(C191="","",IFERROR(VLOOKUP(C191,'Database controls'!$A$5:$B$20,2,FALSE),"NEW / UNCATEGORIZED"))</x:f>
      </x:c>
      <x:c r="E191" s="73"/>
      <x:c r="F191" s="73"/>
      <x:c r="G191" s="73"/>
      <x:c r="H191" s="82" t="str">
        <x:f>IF(A191="","",IF(OR(F191="REJECTS",G191="REJECTS"),"OUTSIDE / EXCOMMUNICABLE",IF(AND(OR(F191="RETAINS",F191="RETAINS WITH QUALIFICATION"),OR(G191="RETAINS",G191="RETAINS WITH QUALIFICATION")),"INTERNAL GORGONWARS",IF(AND(F191="NOT APPLICABLE",G191="NOT APPLICABLE"),"NOT APPLICABLE","PREMISES UNRESOLVED"))))</x:f>
      </x:c>
      <x:c r="I191" s="82" t="str">
        <x:f>IF(A191="","",IF(E191=H191,"OK",IF(AO191&lt;&gt;"","OVERRIDDEN","REVIEW")))</x:f>
      </x:c>
      <x:c r="J191" s="73"/>
      <x:c r="K191" s="73"/>
      <x:c r="L191" s="73"/>
      <x:c r="M191" s="73"/>
      <x:c r="N191" s="89"/>
      <x:c r="O191" s="73"/>
      <x:c r="P191" s="73"/>
      <x:c r="Q191" s="73"/>
      <x:c r="R191" s="73"/>
      <x:c r="S191" s="73"/>
      <x:c r="T191" s="73"/>
      <x:c r="U191" s="73"/>
      <x:c r="V191" s="73"/>
      <x:c r="W191" s="73"/>
      <x:c r="X191" s="93"/>
      <x:c r="Y191" s="93"/>
      <x:c r="Z191" s="73"/>
      <x:c r="AA191" s="73"/>
      <x:c r="AB191" s="73"/>
      <x:c r="AC191" s="73"/>
      <x:c r="AD191" s="73"/>
      <x:c r="AE191" s="73"/>
      <x:c r="AF191" s="73"/>
      <x:c r="AG191" s="73"/>
      <x:c r="AH191" s="73"/>
      <x:c r="AI191" s="73"/>
      <x:c r="AJ191" s="73"/>
      <x:c r="AK191" s="73"/>
      <x:c r="AL191" s="73"/>
      <x:c r="AM191" s="73"/>
      <x:c r="AN191" s="73"/>
      <x:c r="AO191" s="73"/>
      <x:c r="AP191" s="73"/>
      <x:c r="AQ191" s="73"/>
      <x:c r="AR191" s="73"/>
      <x:c r="AS191" s="82" t="str">
        <x:f>IF(A191="","",IF(OR(E191="NOT APPLICABLE",E191="PREMISES UNRESOLVED"),"N/A",IF(OR(AND(F191&lt;&gt;"NO EVIDENCE",F191&lt;&gt;"NOT APPLICABLE",OR(AG191="",AH191="",AI191="",AJ191="",AG191="SYSTEM INFERENCE",AG191="ABSTRACT ONLY",AG191="SECONDARY REPORT",AG191="UNVERIFIED",AI191="Exact locator needed",AI191="HAU forum framing; exact target locator needed",AI191="Forum exchange; exact locator needed")),AND(G191&lt;&gt;"NO EVIDENCE",G191&lt;&gt;"NOT APPLICABLE",OR(AK191="",AL191="",AM191="",AN191="",AK191="SYSTEM INFERENCE",AK191="ABSTRACT ONLY",AK191="SECONDARY REPORT",AK191="UNVERIFIED",AM191="Exact locator needed",AM191="HAU forum framing; exact target locator needed",AM191="Forum exchange; exact locator needed"))),"EVIDENCE DEBT","READY")))</x:f>
      </x:c>
      <x:c r="AT191" s="74"/>
    </x:row>
    <x:row r="192" ht="24" customHeight="1">
      <x:c r="A192" s="86"/>
      <x:c r="B192" s="76"/>
      <x:c r="C192" s="90"/>
      <x:c r="D192" s="82" t="str">
        <x:f>IF(C192="","",IFERROR(VLOOKUP(C192,'Database controls'!$A$5:$B$20,2,FALSE),"NEW / UNCATEGORIZED"))</x:f>
      </x:c>
      <x:c r="E192" s="76"/>
      <x:c r="F192" s="76"/>
      <x:c r="G192" s="76"/>
      <x:c r="H192" s="82" t="str">
        <x:f>IF(A192="","",IF(OR(F192="REJECTS",G192="REJECTS"),"OUTSIDE / EXCOMMUNICABLE",IF(AND(OR(F192="RETAINS",F192="RETAINS WITH QUALIFICATION"),OR(G192="RETAINS",G192="RETAINS WITH QUALIFICATION")),"INTERNAL GORGONWARS",IF(AND(F192="NOT APPLICABLE",G192="NOT APPLICABLE"),"NOT APPLICABLE","PREMISES UNRESOLVED"))))</x:f>
      </x:c>
      <x:c r="I192" s="82" t="str">
        <x:f>IF(A192="","",IF(E192=H192,"OK",IF(AO192&lt;&gt;"","OVERRIDDEN","REVIEW")))</x:f>
      </x:c>
      <x:c r="J192" s="76"/>
      <x:c r="K192" s="76"/>
      <x:c r="L192" s="76"/>
      <x:c r="M192" s="76"/>
      <x:c r="N192" s="90"/>
      <x:c r="O192" s="76"/>
      <x:c r="P192" s="76"/>
      <x:c r="Q192" s="76"/>
      <x:c r="R192" s="76"/>
      <x:c r="S192" s="76"/>
      <x:c r="T192" s="76"/>
      <x:c r="U192" s="76"/>
      <x:c r="V192" s="76"/>
      <x:c r="W192" s="76"/>
      <x:c r="X192" s="94"/>
      <x:c r="Y192" s="94"/>
      <x:c r="Z192" s="76"/>
      <x:c r="AA192" s="76"/>
      <x:c r="AB192" s="76"/>
      <x:c r="AC192" s="76"/>
      <x:c r="AD192" s="76"/>
      <x:c r="AE192" s="76"/>
      <x:c r="AF192" s="76"/>
      <x:c r="AG192" s="76"/>
      <x:c r="AH192" s="76"/>
      <x:c r="AI192" s="76"/>
      <x:c r="AJ192" s="76"/>
      <x:c r="AK192" s="76"/>
      <x:c r="AL192" s="76"/>
      <x:c r="AM192" s="76"/>
      <x:c r="AN192" s="76"/>
      <x:c r="AO192" s="76"/>
      <x:c r="AP192" s="76"/>
      <x:c r="AQ192" s="76"/>
      <x:c r="AR192" s="76"/>
      <x:c r="AS192" s="82" t="str">
        <x:f>IF(A192="","",IF(OR(E192="NOT APPLICABLE",E192="PREMISES UNRESOLVED"),"N/A",IF(OR(AND(F192&lt;&gt;"NO EVIDENCE",F192&lt;&gt;"NOT APPLICABLE",OR(AG192="",AH192="",AI192="",AJ192="",AG192="SYSTEM INFERENCE",AG192="ABSTRACT ONLY",AG192="SECONDARY REPORT",AG192="UNVERIFIED",AI192="Exact locator needed",AI192="HAU forum framing; exact target locator needed",AI192="Forum exchange; exact locator needed")),AND(G192&lt;&gt;"NO EVIDENCE",G192&lt;&gt;"NOT APPLICABLE",OR(AK192="",AL192="",AM192="",AN192="",AK192="SYSTEM INFERENCE",AK192="ABSTRACT ONLY",AK192="SECONDARY REPORT",AK192="UNVERIFIED",AM192="Exact locator needed",AM192="HAU forum framing; exact target locator needed",AM192="Forum exchange; exact locator needed"))),"EVIDENCE DEBT","READY")))</x:f>
      </x:c>
      <x:c r="AT192" s="77"/>
    </x:row>
    <x:row r="193" ht="24" customHeight="1">
      <x:c r="A193" s="85"/>
      <x:c r="B193" s="73"/>
      <x:c r="C193" s="89"/>
      <x:c r="D193" s="82" t="str">
        <x:f>IF(C193="","",IFERROR(VLOOKUP(C193,'Database controls'!$A$5:$B$20,2,FALSE),"NEW / UNCATEGORIZED"))</x:f>
      </x:c>
      <x:c r="E193" s="73"/>
      <x:c r="F193" s="73"/>
      <x:c r="G193" s="73"/>
      <x:c r="H193" s="82" t="str">
        <x:f>IF(A193="","",IF(OR(F193="REJECTS",G193="REJECTS"),"OUTSIDE / EXCOMMUNICABLE",IF(AND(OR(F193="RETAINS",F193="RETAINS WITH QUALIFICATION"),OR(G193="RETAINS",G193="RETAINS WITH QUALIFICATION")),"INTERNAL GORGONWARS",IF(AND(F193="NOT APPLICABLE",G193="NOT APPLICABLE"),"NOT APPLICABLE","PREMISES UNRESOLVED"))))</x:f>
      </x:c>
      <x:c r="I193" s="82" t="str">
        <x:f>IF(A193="","",IF(E193=H193,"OK",IF(AO193&lt;&gt;"","OVERRIDDEN","REVIEW")))</x:f>
      </x:c>
      <x:c r="J193" s="73"/>
      <x:c r="K193" s="73"/>
      <x:c r="L193" s="73"/>
      <x:c r="M193" s="73"/>
      <x:c r="N193" s="89"/>
      <x:c r="O193" s="73"/>
      <x:c r="P193" s="73"/>
      <x:c r="Q193" s="73"/>
      <x:c r="R193" s="73"/>
      <x:c r="S193" s="73"/>
      <x:c r="T193" s="73"/>
      <x:c r="U193" s="73"/>
      <x:c r="V193" s="73"/>
      <x:c r="W193" s="73"/>
      <x:c r="X193" s="93"/>
      <x:c r="Y193" s="93"/>
      <x:c r="Z193" s="73"/>
      <x:c r="AA193" s="73"/>
      <x:c r="AB193" s="73"/>
      <x:c r="AC193" s="73"/>
      <x:c r="AD193" s="73"/>
      <x:c r="AE193" s="73"/>
      <x:c r="AF193" s="73"/>
      <x:c r="AG193" s="73"/>
      <x:c r="AH193" s="73"/>
      <x:c r="AI193" s="73"/>
      <x:c r="AJ193" s="73"/>
      <x:c r="AK193" s="73"/>
      <x:c r="AL193" s="73"/>
      <x:c r="AM193" s="73"/>
      <x:c r="AN193" s="73"/>
      <x:c r="AO193" s="73"/>
      <x:c r="AP193" s="73"/>
      <x:c r="AQ193" s="73"/>
      <x:c r="AR193" s="73"/>
      <x:c r="AS193" s="82" t="str">
        <x:f>IF(A193="","",IF(OR(E193="NOT APPLICABLE",E193="PREMISES UNRESOLVED"),"N/A",IF(OR(AND(F193&lt;&gt;"NO EVIDENCE",F193&lt;&gt;"NOT APPLICABLE",OR(AG193="",AH193="",AI193="",AJ193="",AG193="SYSTEM INFERENCE",AG193="ABSTRACT ONLY",AG193="SECONDARY REPORT",AG193="UNVERIFIED",AI193="Exact locator needed",AI193="HAU forum framing; exact target locator needed",AI193="Forum exchange; exact locator needed")),AND(G193&lt;&gt;"NO EVIDENCE",G193&lt;&gt;"NOT APPLICABLE",OR(AK193="",AL193="",AM193="",AN193="",AK193="SYSTEM INFERENCE",AK193="ABSTRACT ONLY",AK193="SECONDARY REPORT",AK193="UNVERIFIED",AM193="Exact locator needed",AM193="HAU forum framing; exact target locator needed",AM193="Forum exchange; exact locator needed"))),"EVIDENCE DEBT","READY")))</x:f>
      </x:c>
      <x:c r="AT193" s="74"/>
    </x:row>
    <x:row r="194" ht="24" customHeight="1">
      <x:c r="A194" s="86"/>
      <x:c r="B194" s="76"/>
      <x:c r="C194" s="90"/>
      <x:c r="D194" s="82" t="str">
        <x:f>IF(C194="","",IFERROR(VLOOKUP(C194,'Database controls'!$A$5:$B$20,2,FALSE),"NEW / UNCATEGORIZED"))</x:f>
      </x:c>
      <x:c r="E194" s="76"/>
      <x:c r="F194" s="76"/>
      <x:c r="G194" s="76"/>
      <x:c r="H194" s="82" t="str">
        <x:f>IF(A194="","",IF(OR(F194="REJECTS",G194="REJECTS"),"OUTSIDE / EXCOMMUNICABLE",IF(AND(OR(F194="RETAINS",F194="RETAINS WITH QUALIFICATION"),OR(G194="RETAINS",G194="RETAINS WITH QUALIFICATION")),"INTERNAL GORGONWARS",IF(AND(F194="NOT APPLICABLE",G194="NOT APPLICABLE"),"NOT APPLICABLE","PREMISES UNRESOLVED"))))</x:f>
      </x:c>
      <x:c r="I194" s="82" t="str">
        <x:f>IF(A194="","",IF(E194=H194,"OK",IF(AO194&lt;&gt;"","OVERRIDDEN","REVIEW")))</x:f>
      </x:c>
      <x:c r="J194" s="76"/>
      <x:c r="K194" s="76"/>
      <x:c r="L194" s="76"/>
      <x:c r="M194" s="76"/>
      <x:c r="N194" s="90"/>
      <x:c r="O194" s="76"/>
      <x:c r="P194" s="76"/>
      <x:c r="Q194" s="76"/>
      <x:c r="R194" s="76"/>
      <x:c r="S194" s="76"/>
      <x:c r="T194" s="76"/>
      <x:c r="U194" s="76"/>
      <x:c r="V194" s="76"/>
      <x:c r="W194" s="76"/>
      <x:c r="X194" s="94"/>
      <x:c r="Y194" s="94"/>
      <x:c r="Z194" s="76"/>
      <x:c r="AA194" s="76"/>
      <x:c r="AB194" s="76"/>
      <x:c r="AC194" s="76"/>
      <x:c r="AD194" s="76"/>
      <x:c r="AE194" s="76"/>
      <x:c r="AF194" s="76"/>
      <x:c r="AG194" s="76"/>
      <x:c r="AH194" s="76"/>
      <x:c r="AI194" s="76"/>
      <x:c r="AJ194" s="76"/>
      <x:c r="AK194" s="76"/>
      <x:c r="AL194" s="76"/>
      <x:c r="AM194" s="76"/>
      <x:c r="AN194" s="76"/>
      <x:c r="AO194" s="76"/>
      <x:c r="AP194" s="76"/>
      <x:c r="AQ194" s="76"/>
      <x:c r="AR194" s="76"/>
      <x:c r="AS194" s="82" t="str">
        <x:f>IF(A194="","",IF(OR(E194="NOT APPLICABLE",E194="PREMISES UNRESOLVED"),"N/A",IF(OR(AND(F194&lt;&gt;"NO EVIDENCE",F194&lt;&gt;"NOT APPLICABLE",OR(AG194="",AH194="",AI194="",AJ194="",AG194="SYSTEM INFERENCE",AG194="ABSTRACT ONLY",AG194="SECONDARY REPORT",AG194="UNVERIFIED",AI194="Exact locator needed",AI194="HAU forum framing; exact target locator needed",AI194="Forum exchange; exact locator needed")),AND(G194&lt;&gt;"NO EVIDENCE",G194&lt;&gt;"NOT APPLICABLE",OR(AK194="",AL194="",AM194="",AN194="",AK194="SYSTEM INFERENCE",AK194="ABSTRACT ONLY",AK194="SECONDARY REPORT",AK194="UNVERIFIED",AM194="Exact locator needed",AM194="HAU forum framing; exact target locator needed",AM194="Forum exchange; exact locator needed"))),"EVIDENCE DEBT","READY")))</x:f>
      </x:c>
      <x:c r="AT194" s="77"/>
    </x:row>
    <x:row r="195" ht="24" customHeight="1">
      <x:c r="A195" s="85"/>
      <x:c r="B195" s="73"/>
      <x:c r="C195" s="89"/>
      <x:c r="D195" s="82" t="str">
        <x:f>IF(C195="","",IFERROR(VLOOKUP(C195,'Database controls'!$A$5:$B$20,2,FALSE),"NEW / UNCATEGORIZED"))</x:f>
      </x:c>
      <x:c r="E195" s="73"/>
      <x:c r="F195" s="73"/>
      <x:c r="G195" s="73"/>
      <x:c r="H195" s="82" t="str">
        <x:f>IF(A195="","",IF(OR(F195="REJECTS",G195="REJECTS"),"OUTSIDE / EXCOMMUNICABLE",IF(AND(OR(F195="RETAINS",F195="RETAINS WITH QUALIFICATION"),OR(G195="RETAINS",G195="RETAINS WITH QUALIFICATION")),"INTERNAL GORGONWARS",IF(AND(F195="NOT APPLICABLE",G195="NOT APPLICABLE"),"NOT APPLICABLE","PREMISES UNRESOLVED"))))</x:f>
      </x:c>
      <x:c r="I195" s="82" t="str">
        <x:f>IF(A195="","",IF(E195=H195,"OK",IF(AO195&lt;&gt;"","OVERRIDDEN","REVIEW")))</x:f>
      </x:c>
      <x:c r="J195" s="73"/>
      <x:c r="K195" s="73"/>
      <x:c r="L195" s="73"/>
      <x:c r="M195" s="73"/>
      <x:c r="N195" s="89"/>
      <x:c r="O195" s="73"/>
      <x:c r="P195" s="73"/>
      <x:c r="Q195" s="73"/>
      <x:c r="R195" s="73"/>
      <x:c r="S195" s="73"/>
      <x:c r="T195" s="73"/>
      <x:c r="U195" s="73"/>
      <x:c r="V195" s="73"/>
      <x:c r="W195" s="73"/>
      <x:c r="X195" s="93"/>
      <x:c r="Y195" s="93"/>
      <x:c r="Z195" s="73"/>
      <x:c r="AA195" s="73"/>
      <x:c r="AB195" s="73"/>
      <x:c r="AC195" s="73"/>
      <x:c r="AD195" s="73"/>
      <x:c r="AE195" s="73"/>
      <x:c r="AF195" s="73"/>
      <x:c r="AG195" s="73"/>
      <x:c r="AH195" s="73"/>
      <x:c r="AI195" s="73"/>
      <x:c r="AJ195" s="73"/>
      <x:c r="AK195" s="73"/>
      <x:c r="AL195" s="73"/>
      <x:c r="AM195" s="73"/>
      <x:c r="AN195" s="73"/>
      <x:c r="AO195" s="73"/>
      <x:c r="AP195" s="73"/>
      <x:c r="AQ195" s="73"/>
      <x:c r="AR195" s="73"/>
      <x:c r="AS195" s="82" t="str">
        <x:f>IF(A195="","",IF(OR(E195="NOT APPLICABLE",E195="PREMISES UNRESOLVED"),"N/A",IF(OR(AND(F195&lt;&gt;"NO EVIDENCE",F195&lt;&gt;"NOT APPLICABLE",OR(AG195="",AH195="",AI195="",AJ195="",AG195="SYSTEM INFERENCE",AG195="ABSTRACT ONLY",AG195="SECONDARY REPORT",AG195="UNVERIFIED",AI195="Exact locator needed",AI195="HAU forum framing; exact target locator needed",AI195="Forum exchange; exact locator needed")),AND(G195&lt;&gt;"NO EVIDENCE",G195&lt;&gt;"NOT APPLICABLE",OR(AK195="",AL195="",AM195="",AN195="",AK195="SYSTEM INFERENCE",AK195="ABSTRACT ONLY",AK195="SECONDARY REPORT",AK195="UNVERIFIED",AM195="Exact locator needed",AM195="HAU forum framing; exact target locator needed",AM195="Forum exchange; exact locator needed"))),"EVIDENCE DEBT","READY")))</x:f>
      </x:c>
      <x:c r="AT195" s="74"/>
    </x:row>
    <x:row r="196" ht="24" customHeight="1">
      <x:c r="A196" s="87"/>
      <x:c r="B196" s="79"/>
      <x:c r="C196" s="91"/>
      <x:c r="D196" s="83" t="str">
        <x:f>IF(C196="","",IFERROR(VLOOKUP(C196,'Database controls'!$A$5:$B$20,2,FALSE),"NEW / UNCATEGORIZED"))</x:f>
      </x:c>
      <x:c r="E196" s="79"/>
      <x:c r="F196" s="79"/>
      <x:c r="G196" s="79"/>
      <x:c r="H196" s="83" t="str">
        <x:f>IF(A196="","",IF(OR(F196="REJECTS",G196="REJECTS"),"OUTSIDE / EXCOMMUNICABLE",IF(AND(OR(F196="RETAINS",F196="RETAINS WITH QUALIFICATION"),OR(G196="RETAINS",G196="RETAINS WITH QUALIFICATION")),"INTERNAL GORGONWARS",IF(AND(F196="NOT APPLICABLE",G196="NOT APPLICABLE"),"NOT APPLICABLE","PREMISES UNRESOLVED"))))</x:f>
      </x:c>
      <x:c r="I196" s="83" t="str">
        <x:f>IF(A196="","",IF(E196=H196,"OK",IF(AO196&lt;&gt;"","OVERRIDDEN","REVIEW")))</x:f>
      </x:c>
      <x:c r="J196" s="79"/>
      <x:c r="K196" s="79"/>
      <x:c r="L196" s="79"/>
      <x:c r="M196" s="79"/>
      <x:c r="N196" s="91"/>
      <x:c r="O196" s="79"/>
      <x:c r="P196" s="79"/>
      <x:c r="Q196" s="79"/>
      <x:c r="R196" s="79"/>
      <x:c r="S196" s="79"/>
      <x:c r="T196" s="79"/>
      <x:c r="U196" s="79"/>
      <x:c r="V196" s="79"/>
      <x:c r="W196" s="79"/>
      <x:c r="X196" s="95"/>
      <x:c r="Y196" s="95"/>
      <x:c r="Z196" s="79"/>
      <x:c r="AA196" s="79"/>
      <x:c r="AB196" s="79"/>
      <x:c r="AC196" s="79"/>
      <x:c r="AD196" s="79"/>
      <x:c r="AE196" s="79"/>
      <x:c r="AF196" s="79"/>
      <x:c r="AG196" s="79"/>
      <x:c r="AH196" s="79"/>
      <x:c r="AI196" s="79"/>
      <x:c r="AJ196" s="79"/>
      <x:c r="AK196" s="79"/>
      <x:c r="AL196" s="79"/>
      <x:c r="AM196" s="79"/>
      <x:c r="AN196" s="79"/>
      <x:c r="AO196" s="79"/>
      <x:c r="AP196" s="79"/>
      <x:c r="AQ196" s="79"/>
      <x:c r="AR196" s="79"/>
      <x:c r="AS196" s="83" t="str">
        <x:f>IF(A196="","",IF(OR(E196="NOT APPLICABLE",E196="PREMISES UNRESOLVED"),"N/A",IF(OR(AND(F196&lt;&gt;"NO EVIDENCE",F196&lt;&gt;"NOT APPLICABLE",OR(AG196="",AH196="",AI196="",AJ196="",AG196="SYSTEM INFERENCE",AG196="ABSTRACT ONLY",AG196="SECONDARY REPORT",AG196="UNVERIFIED",AI196="Exact locator needed",AI196="HAU forum framing; exact target locator needed",AI196="Forum exchange; exact locator needed")),AND(G196&lt;&gt;"NO EVIDENCE",G196&lt;&gt;"NOT APPLICABLE",OR(AK196="",AL196="",AM196="",AN196="",AK196="SYSTEM INFERENCE",AK196="ABSTRACT ONLY",AK196="SECONDARY REPORT",AK196="UNVERIFIED",AM196="Exact locator needed",AM196="HAU forum framing; exact target locator needed",AM196="Forum exchange; exact locator needed"))),"EVIDENCE DEBT","READY")))</x:f>
      </x:c>
      <x:c r="AT196" s="80"/>
    </x:row>
  </x:sheetData>
  <x:mergeCells>
    <x:mergeCell ref="A1:AT1"/>
    <x:mergeCell ref="A2:AT2"/>
    <x:mergeCell ref="A4:AT4"/>
  </x:mergeCells>
  <x:conditionalFormatting sqref="E6:E1000">
    <x:cfRule type="containsText" dxfId="0" priority="1" operator="containsText" text="OUTSIDE"/>
    <x:cfRule type="containsText" dxfId="1" priority="2" operator="containsText" text="INTERNAL"/>
    <x:cfRule type="containsText" dxfId="2" priority="3" operator="containsText" text="UNRESOLVED"/>
    <x:cfRule type="containsText" dxfId="3" priority="4" operator="containsText" text="NOT APPLICABLE"/>
  </x:conditionalFormatting>
  <x:conditionalFormatting sqref="I6:I1000">
    <x:cfRule type="containsText" dxfId="4" priority="5" operator="containsText" text="OK"/>
    <x:cfRule type="containsText" dxfId="5" priority="6" operator="containsText" text="REVIEW"/>
    <x:cfRule type="containsText" dxfId="6" priority="7" operator="containsText" text="OVERRIDDEN"/>
  </x:conditionalFormatting>
  <x:conditionalFormatting sqref="AS6:AS1000">
    <x:cfRule type="containsText" dxfId="7" priority="8" operator="containsText" text="READY"/>
    <x:cfRule type="containsText" dxfId="8" priority="9" operator="containsText" text="EVIDENCE DEBT"/>
    <x:cfRule type="containsText" dxfId="9" priority="10" operator="containsText" text="N/A"/>
  </x:conditionalFormatting>
  <x:conditionalFormatting sqref="AG6:AG1000">
    <x:cfRule type="containsText" dxfId="10" priority="11" operator="containsText" text="SYSTEM INFERENCE"/>
  </x:conditionalFormatting>
  <x:conditionalFormatting sqref="AK6:AK1000">
    <x:cfRule type="containsText" dxfId="11" priority="12" operator="containsText" text="SYSTEM INFERENCE"/>
  </x:conditionalFormatting>
  <x:conditionalFormatting sqref="B6:B1000">
    <x:cfRule type="containsText" dxfId="12" priority="13" operator="containsText" text="Needs"/>
    <x:cfRule type="containsText" dxfId="13" priority="14" operator="containsText" text="Provisional"/>
    <x:cfRule type="containsText" dxfId="14" priority="15" operator="containsText" text="Active"/>
  </x:conditionalFormatting>
  <x:dataValidations count="15">
    <x:dataValidation type="list" sqref="B6:B1000">
      <x:formula1>'Database controls'!$F$5:$F$11</x:formula1>
    </x:dataValidation>
    <x:dataValidation type="list" sqref="C6:C1000">
      <x:formula1>'Database controls'!$A$5:$A$13</x:formula1>
    </x:dataValidation>
    <x:dataValidation type="list" sqref="E6:E1000">
      <x:formula1>'Database controls'!$G$5:$G$8</x:formula1>
    </x:dataValidation>
    <x:dataValidation type="list" sqref="F6:F1000">
      <x:formula1>'Database controls'!$H$5:$H$10</x:formula1>
    </x:dataValidation>
    <x:dataValidation type="list" sqref="G6:G1000">
      <x:formula1>'Database controls'!$H$5:$H$10</x:formula1>
    </x:dataValidation>
    <x:dataValidation type="list" sqref="K6:K1000">
      <x:formula1>'Database controls'!$I$5:$I$12</x:formula1>
    </x:dataValidation>
    <x:dataValidation type="list" sqref="L6:L1000">
      <x:formula1>'Database controls'!$J$5:$J$14</x:formula1>
    </x:dataValidation>
    <x:dataValidation type="list" sqref="M6:M1000">
      <x:formula1>'Database controls'!$K$5:$K$12</x:formula1>
    </x:dataValidation>
    <x:dataValidation type="list" sqref="R6:R1000">
      <x:formula1>'Database controls'!$M$5:$M$9</x:formula1>
    </x:dataValidation>
    <x:dataValidation type="list" sqref="U6:U1000">
      <x:formula1>'Database controls'!$L$5:$L$10</x:formula1>
    </x:dataValidation>
    <x:dataValidation type="list" sqref="AC6:AC1000">
      <x:formula1>'Database controls'!$O$5:$O$13</x:formula1>
    </x:dataValidation>
    <x:dataValidation type="list" sqref="AD6:AD1000">
      <x:formula1>'Database controls'!$P$5:$P$11</x:formula1>
    </x:dataValidation>
    <x:dataValidation type="list" sqref="AE6:AE1000">
      <x:formula1>'Database controls'!$Q$5:$Q$7</x:formula1>
    </x:dataValidation>
    <x:dataValidation type="list" sqref="AG6:AG1000">
      <x:formula1>'Database controls'!$N$5:$N$12</x:formula1>
    </x:dataValidation>
    <x:dataValidation type="list" sqref="AK6:AK1000">
      <x:formula1>'Database controls'!$N$5:$N$12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5b8e26937245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34" hidden="0" customWidth="1"/>
    <x:col min="4" max="4" width="31" hidden="0" customWidth="1"/>
    <x:col min="5" max="5" width="31" hidden="0" customWidth="1"/>
    <x:col min="6" max="6" width="66" hidden="0" customWidth="1"/>
    <x:col min="7" max="7" width="20" hidden="0" customWidth="1"/>
    <x:col min="8" max="8" width="58" hidden="0" customWidth="1"/>
  </x:cols>
  <x:sheetData>
    <x:row r="1" ht="30" customHeight="1">
      <x:c r="A1" s="3" t="str">
        <x:v>Classification change log</x:v>
      </x:c>
    </x:row>
    <x:row r="2" ht="34" customHeight="1">
      <x:c r="A2" s="6" t="str">
        <x:v>Record every reviewed change to a premise position or final classification. A manual override is not complete until its reason and supporting evidence URL are present here and in the live database.</x:v>
      </x:c>
      <x:c r="B2" s="6"/>
      <x:c r="C2" s="6"/>
      <x:c r="D2" s="6"/>
      <x:c r="E2" s="6"/>
      <x:c r="F2" s="6"/>
      <x:c r="G2" s="6"/>
      <x:c r="H2" s="6"/>
    </x:row>
    <x:row r="4" ht="38" customHeight="1">
      <x:c r="A4" s="11" t="str">
        <x:v>Change date</x:v>
      </x:c>
      <x:c r="B4" s="11" t="str">
        <x:v>Source ID</x:v>
      </x:c>
      <x:c r="C4" s="11" t="str">
        <x:v>Field changed</x:v>
      </x:c>
      <x:c r="D4" s="11" t="str">
        <x:v>Old value</x:v>
      </x:c>
      <x:c r="E4" s="11" t="str">
        <x:v>New value</x:v>
      </x:c>
      <x:c r="F4" s="11" t="str">
        <x:v>Reason</x:v>
      </x:c>
      <x:c r="G4" s="11" t="str">
        <x:v>Reviewer</x:v>
      </x:c>
      <x:c r="H4" s="11" t="str">
        <x:v>Evidence URL</x:v>
      </x:c>
    </x:row>
    <x:row r="5" ht="28" customHeight="1">
      <x:c r="A5" s="96" t="n">
        <x:v>46230</x:v>
      </x:c>
      <x:c r="B5" s="17" t="str">
        <x:v>85–166</x:v>
      </x:c>
      <x:c r="C5" s="17" t="str">
        <x:v>Source corpus</x:v>
      </x:c>
      <x:c r="D5" s="17" t="str">
        <x:v>84 inherited records</x:v>
      </x:c>
      <x:c r="E5" s="17" t="str">
        <x:v>166 total records</x:v>
      </x:c>
      <x:c r="F5" s="17" t="str">
        <x:v>Premise-first expansion across direct #MeToo dissent, public/private limits, anti-standpoint epistemology, multilingual criticism, and documented internal controls.</x:v>
      </x:c>
      <x:c r="G5" s="17" t="str">
        <x:v>Research team</x:v>
      </x:c>
      <x:c r="H5" s="17" t="str">
        <x:v>See the source-level evidence URLs in the live database.</x:v>
      </x:c>
    </x:row>
    <x:row r="6" ht="28" customHeight="1">
      <x:c r="A6" s="96"/>
      <x:c r="B6" s="17"/>
      <x:c r="C6" s="17"/>
      <x:c r="D6" s="17"/>
      <x:c r="E6" s="17"/>
      <x:c r="F6" s="17"/>
      <x:c r="G6" s="17"/>
      <x:c r="H6" s="17"/>
    </x:row>
    <x:row r="7" ht="28" customHeight="1">
      <x:c r="A7" s="96"/>
      <x:c r="B7" s="17"/>
      <x:c r="C7" s="17"/>
      <x:c r="D7" s="17"/>
      <x:c r="E7" s="17"/>
      <x:c r="F7" s="17"/>
      <x:c r="G7" s="17"/>
      <x:c r="H7" s="17"/>
    </x:row>
    <x:row r="8" ht="28" customHeight="1">
      <x:c r="A8" s="96"/>
      <x:c r="B8" s="17"/>
      <x:c r="C8" s="17"/>
      <x:c r="D8" s="17"/>
      <x:c r="E8" s="17"/>
      <x:c r="F8" s="17"/>
      <x:c r="G8" s="17"/>
      <x:c r="H8" s="17"/>
    </x:row>
    <x:row r="9" ht="28" customHeight="1">
      <x:c r="A9" s="96"/>
      <x:c r="B9" s="17"/>
      <x:c r="C9" s="17"/>
      <x:c r="D9" s="17"/>
      <x:c r="E9" s="17"/>
      <x:c r="F9" s="17"/>
      <x:c r="G9" s="17"/>
      <x:c r="H9" s="17"/>
    </x:row>
    <x:row r="10" ht="28" customHeight="1">
      <x:c r="A10" s="96"/>
      <x:c r="B10" s="17"/>
      <x:c r="C10" s="17"/>
      <x:c r="D10" s="17"/>
      <x:c r="E10" s="17"/>
      <x:c r="F10" s="17"/>
      <x:c r="G10" s="17"/>
      <x:c r="H10" s="17"/>
    </x:row>
    <x:row r="11" ht="28" customHeight="1">
      <x:c r="A11" s="96"/>
      <x:c r="B11" s="17"/>
      <x:c r="C11" s="17"/>
      <x:c r="D11" s="17"/>
      <x:c r="E11" s="17"/>
      <x:c r="F11" s="17"/>
      <x:c r="G11" s="17"/>
      <x:c r="H11" s="17"/>
    </x:row>
    <x:row r="12" ht="28" customHeight="1">
      <x:c r="A12" s="96"/>
      <x:c r="B12" s="17"/>
      <x:c r="C12" s="17"/>
      <x:c r="D12" s="17"/>
      <x:c r="E12" s="17"/>
      <x:c r="F12" s="17"/>
      <x:c r="G12" s="17"/>
      <x:c r="H12" s="17"/>
    </x:row>
    <x:row r="13" ht="28" customHeight="1">
      <x:c r="A13" s="96"/>
      <x:c r="B13" s="17"/>
      <x:c r="C13" s="17"/>
      <x:c r="D13" s="17"/>
      <x:c r="E13" s="17"/>
      <x:c r="F13" s="17"/>
      <x:c r="G13" s="17"/>
      <x:c r="H13" s="17"/>
    </x:row>
    <x:row r="14" ht="28" customHeight="1">
      <x:c r="A14" s="96"/>
      <x:c r="B14" s="17"/>
      <x:c r="C14" s="17"/>
      <x:c r="D14" s="17"/>
      <x:c r="E14" s="17"/>
      <x:c r="F14" s="17"/>
      <x:c r="G14" s="17"/>
      <x:c r="H14" s="17"/>
    </x:row>
    <x:row r="15" ht="28" customHeight="1">
      <x:c r="A15" s="96"/>
      <x:c r="B15" s="17"/>
      <x:c r="C15" s="17"/>
      <x:c r="D15" s="17"/>
      <x:c r="E15" s="17"/>
      <x:c r="F15" s="17"/>
      <x:c r="G15" s="17"/>
      <x:c r="H15" s="17"/>
    </x:row>
    <x:row r="16" ht="28" customHeight="1">
      <x:c r="A16" s="96"/>
      <x:c r="B16" s="17"/>
      <x:c r="C16" s="17"/>
      <x:c r="D16" s="17"/>
      <x:c r="E16" s="17"/>
      <x:c r="F16" s="17"/>
      <x:c r="G16" s="17"/>
      <x:c r="H16" s="17"/>
    </x:row>
    <x:row r="17" ht="28" customHeight="1">
      <x:c r="A17" s="96"/>
      <x:c r="B17" s="17"/>
      <x:c r="C17" s="17"/>
      <x:c r="D17" s="17"/>
      <x:c r="E17" s="17"/>
      <x:c r="F17" s="17"/>
      <x:c r="G17" s="17"/>
      <x:c r="H17" s="17"/>
    </x:row>
    <x:row r="18" ht="28" customHeight="1">
      <x:c r="A18" s="96"/>
      <x:c r="B18" s="17"/>
      <x:c r="C18" s="17"/>
      <x:c r="D18" s="17"/>
      <x:c r="E18" s="17"/>
      <x:c r="F18" s="17"/>
      <x:c r="G18" s="17"/>
      <x:c r="H18" s="17"/>
    </x:row>
    <x:row r="19" ht="28" customHeight="1">
      <x:c r="A19" s="96"/>
      <x:c r="B19" s="17"/>
      <x:c r="C19" s="17"/>
      <x:c r="D19" s="17"/>
      <x:c r="E19" s="17"/>
      <x:c r="F19" s="17"/>
      <x:c r="G19" s="17"/>
      <x:c r="H19" s="17"/>
    </x:row>
    <x:row r="20" ht="28" customHeight="1">
      <x:c r="A20" s="96"/>
      <x:c r="B20" s="17"/>
      <x:c r="C20" s="17"/>
      <x:c r="D20" s="17"/>
      <x:c r="E20" s="17"/>
      <x:c r="F20" s="17"/>
      <x:c r="G20" s="17"/>
      <x:c r="H20" s="17"/>
    </x:row>
    <x:row r="21" ht="28" customHeight="1">
      <x:c r="A21" s="96"/>
      <x:c r="B21" s="17"/>
      <x:c r="C21" s="17"/>
      <x:c r="D21" s="17"/>
      <x:c r="E21" s="17"/>
      <x:c r="F21" s="17"/>
      <x:c r="G21" s="17"/>
      <x:c r="H21" s="17"/>
    </x:row>
    <x:row r="22" ht="28" customHeight="1">
      <x:c r="A22" s="96"/>
      <x:c r="B22" s="17"/>
      <x:c r="C22" s="17"/>
      <x:c r="D22" s="17"/>
      <x:c r="E22" s="17"/>
      <x:c r="F22" s="17"/>
      <x:c r="G22" s="17"/>
      <x:c r="H22" s="17"/>
    </x:row>
    <x:row r="23" ht="28" customHeight="1">
      <x:c r="A23" s="96"/>
      <x:c r="B23" s="17"/>
      <x:c r="C23" s="17"/>
      <x:c r="D23" s="17"/>
      <x:c r="E23" s="17"/>
      <x:c r="F23" s="17"/>
      <x:c r="G23" s="17"/>
      <x:c r="H23" s="17"/>
    </x:row>
    <x:row r="24" ht="28" customHeight="1">
      <x:c r="A24" s="96"/>
      <x:c r="B24" s="17"/>
      <x:c r="C24" s="17"/>
      <x:c r="D24" s="17"/>
      <x:c r="E24" s="17"/>
      <x:c r="F24" s="17"/>
      <x:c r="G24" s="17"/>
      <x:c r="H24" s="17"/>
    </x:row>
    <x:row r="25" ht="28" customHeight="1">
      <x:c r="A25" s="96"/>
      <x:c r="B25" s="17"/>
      <x:c r="C25" s="17"/>
      <x:c r="D25" s="17"/>
      <x:c r="E25" s="17"/>
      <x:c r="F25" s="17"/>
      <x:c r="G25" s="17"/>
      <x:c r="H25" s="17"/>
    </x:row>
    <x:row r="26" ht="28" customHeight="1">
      <x:c r="A26" s="96"/>
      <x:c r="B26" s="17"/>
      <x:c r="C26" s="17"/>
      <x:c r="D26" s="17"/>
      <x:c r="E26" s="17"/>
      <x:c r="F26" s="17"/>
      <x:c r="G26" s="17"/>
      <x:c r="H26" s="17"/>
    </x:row>
    <x:row r="27" ht="28" customHeight="1">
      <x:c r="A27" s="96"/>
      <x:c r="B27" s="17"/>
      <x:c r="C27" s="17"/>
      <x:c r="D27" s="17"/>
      <x:c r="E27" s="17"/>
      <x:c r="F27" s="17"/>
      <x:c r="G27" s="17"/>
      <x:c r="H27" s="17"/>
    </x:row>
    <x:row r="28" ht="28" customHeight="1">
      <x:c r="A28" s="96"/>
      <x:c r="B28" s="17"/>
      <x:c r="C28" s="17"/>
      <x:c r="D28" s="17"/>
      <x:c r="E28" s="17"/>
      <x:c r="F28" s="17"/>
      <x:c r="G28" s="17"/>
      <x:c r="H28" s="17"/>
    </x:row>
    <x:row r="29" ht="28" customHeight="1">
      <x:c r="A29" s="96"/>
      <x:c r="B29" s="17"/>
      <x:c r="C29" s="17"/>
      <x:c r="D29" s="17"/>
      <x:c r="E29" s="17"/>
      <x:c r="F29" s="17"/>
      <x:c r="G29" s="17"/>
      <x:c r="H29" s="17"/>
    </x:row>
    <x:row r="30">
      <x:c r="A30" s="97"/>
    </x:row>
    <x:row r="31">
      <x:c r="A31" s="97"/>
    </x:row>
    <x:row r="32">
      <x:c r="A32" s="97"/>
    </x:row>
    <x:row r="33">
      <x:c r="A33" s="97"/>
    </x:row>
    <x:row r="34">
      <x:c r="A34" s="97"/>
    </x:row>
    <x:row r="35">
      <x:c r="A35" s="97"/>
    </x:row>
    <x:row r="36">
      <x:c r="A36" s="97"/>
    </x:row>
    <x:row r="37">
      <x:c r="A37" s="97"/>
    </x:row>
    <x:row r="38">
      <x:c r="A38" s="97"/>
    </x:row>
    <x:row r="39">
      <x:c r="A39" s="97"/>
    </x:row>
    <x:row r="40">
      <x:c r="A40" s="97"/>
    </x:row>
    <x:row r="41">
      <x:c r="A41" s="97"/>
    </x:row>
    <x:row r="42">
      <x:c r="A42" s="97"/>
    </x:row>
    <x:row r="43">
      <x:c r="A43" s="97"/>
    </x:row>
    <x:row r="44">
      <x:c r="A44" s="97"/>
    </x:row>
    <x:row r="45">
      <x:c r="A45" s="97"/>
    </x:row>
    <x:row r="46">
      <x:c r="A46" s="97"/>
    </x:row>
    <x:row r="47">
      <x:c r="A47" s="97"/>
    </x:row>
    <x:row r="48">
      <x:c r="A48" s="97"/>
    </x:row>
    <x:row r="49">
      <x:c r="A49" s="97"/>
    </x:row>
    <x:row r="50">
      <x:c r="A50" s="97"/>
    </x:row>
    <x:row r="51">
      <x:c r="A51" s="97"/>
    </x:row>
    <x:row r="52">
      <x:c r="A52" s="97"/>
    </x:row>
    <x:row r="53">
      <x:c r="A53" s="97"/>
    </x:row>
    <x:row r="54">
      <x:c r="A54" s="97"/>
    </x:row>
    <x:row r="55">
      <x:c r="A55" s="97"/>
    </x:row>
    <x:row r="56">
      <x:c r="A56" s="97"/>
    </x:row>
    <x:row r="57">
      <x:c r="A57" s="97"/>
    </x:row>
    <x:row r="58">
      <x:c r="A58" s="97"/>
    </x:row>
    <x:row r="59">
      <x:c r="A59" s="97"/>
    </x:row>
    <x:row r="60">
      <x:c r="A60" s="97"/>
    </x:row>
    <x:row r="61">
      <x:c r="A61" s="97"/>
    </x:row>
    <x:row r="62">
      <x:c r="A62" s="97"/>
    </x:row>
    <x:row r="63">
      <x:c r="A63" s="97"/>
    </x:row>
    <x:row r="64">
      <x:c r="A64" s="97"/>
    </x:row>
    <x:row r="65">
      <x:c r="A65" s="97"/>
    </x:row>
    <x:row r="66">
      <x:c r="A66" s="97"/>
    </x:row>
    <x:row r="67">
      <x:c r="A67" s="97"/>
    </x:row>
    <x:row r="68">
      <x:c r="A68" s="97"/>
    </x:row>
    <x:row r="69">
      <x:c r="A69" s="97"/>
    </x:row>
    <x:row r="70">
      <x:c r="A70" s="97"/>
    </x:row>
    <x:row r="71">
      <x:c r="A71" s="97"/>
    </x:row>
    <x:row r="72">
      <x:c r="A72" s="97"/>
    </x:row>
    <x:row r="73">
      <x:c r="A73" s="97"/>
    </x:row>
    <x:row r="74">
      <x:c r="A74" s="97"/>
    </x:row>
    <x:row r="75">
      <x:c r="A75" s="97"/>
    </x:row>
    <x:row r="76">
      <x:c r="A76" s="97"/>
    </x:row>
    <x:row r="77">
      <x:c r="A77" s="97"/>
    </x:row>
    <x:row r="78">
      <x:c r="A78" s="97"/>
    </x:row>
    <x:row r="79">
      <x:c r="A79" s="97"/>
    </x:row>
    <x:row r="80">
      <x:c r="A80" s="97"/>
    </x:row>
    <x:row r="81">
      <x:c r="A81" s="97"/>
    </x:row>
    <x:row r="82">
      <x:c r="A82" s="97"/>
    </x:row>
    <x:row r="83">
      <x:c r="A83" s="97"/>
    </x:row>
    <x:row r="84">
      <x:c r="A84" s="97"/>
    </x:row>
    <x:row r="85">
      <x:c r="A85" s="97"/>
    </x:row>
    <x:row r="86">
      <x:c r="A86" s="97"/>
    </x:row>
    <x:row r="87">
      <x:c r="A87" s="97"/>
    </x:row>
    <x:row r="88">
      <x:c r="A88" s="97"/>
    </x:row>
    <x:row r="89">
      <x:c r="A89" s="97"/>
    </x:row>
    <x:row r="90">
      <x:c r="A90" s="97"/>
    </x:row>
    <x:row r="91">
      <x:c r="A91" s="97"/>
    </x:row>
    <x:row r="92">
      <x:c r="A92" s="97"/>
    </x:row>
    <x:row r="93">
      <x:c r="A93" s="97"/>
    </x:row>
    <x:row r="94">
      <x:c r="A94" s="97"/>
    </x:row>
    <x:row r="95">
      <x:c r="A95" s="97"/>
    </x:row>
    <x:row r="96">
      <x:c r="A96" s="97"/>
    </x:row>
    <x:row r="97">
      <x:c r="A97" s="97"/>
    </x:row>
    <x:row r="98">
      <x:c r="A98" s="97"/>
    </x:row>
    <x:row r="99">
      <x:c r="A99" s="97"/>
    </x:row>
    <x:row r="100">
      <x:c r="A100" s="97"/>
    </x:row>
    <x:row r="101">
      <x:c r="A101" s="97"/>
    </x:row>
    <x:row r="102">
      <x:c r="A102" s="97"/>
    </x:row>
    <x:row r="103">
      <x:c r="A103" s="97"/>
    </x:row>
    <x:row r="104">
      <x:c r="A104" s="97"/>
    </x:row>
    <x:row r="105">
      <x:c r="A105" s="97"/>
    </x:row>
    <x:row r="106">
      <x:c r="A106" s="97"/>
    </x:row>
    <x:row r="107">
      <x:c r="A107" s="97"/>
    </x:row>
    <x:row r="108">
      <x:c r="A108" s="97"/>
    </x:row>
    <x:row r="109">
      <x:c r="A109" s="97"/>
    </x:row>
    <x:row r="110">
      <x:c r="A110" s="97"/>
    </x:row>
    <x:row r="111">
      <x:c r="A111" s="97"/>
    </x:row>
    <x:row r="112">
      <x:c r="A112" s="97"/>
    </x:row>
    <x:row r="113">
      <x:c r="A113" s="97"/>
    </x:row>
    <x:row r="114">
      <x:c r="A114" s="97"/>
    </x:row>
    <x:row r="115">
      <x:c r="A115" s="97"/>
    </x:row>
    <x:row r="116">
      <x:c r="A116" s="97"/>
    </x:row>
    <x:row r="117">
      <x:c r="A117" s="97"/>
    </x:row>
    <x:row r="118">
      <x:c r="A118" s="97"/>
    </x:row>
    <x:row r="119">
      <x:c r="A119" s="97"/>
    </x:row>
    <x:row r="120">
      <x:c r="A120" s="97"/>
    </x:row>
    <x:row r="121">
      <x:c r="A121" s="97"/>
    </x:row>
    <x:row r="122">
      <x:c r="A122" s="97"/>
    </x:row>
    <x:row r="123">
      <x:c r="A123" s="97"/>
    </x:row>
    <x:row r="124">
      <x:c r="A124" s="97"/>
    </x:row>
    <x:row r="125">
      <x:c r="A125" s="97"/>
    </x:row>
    <x:row r="126">
      <x:c r="A126" s="97"/>
    </x:row>
    <x:row r="127">
      <x:c r="A127" s="97"/>
    </x:row>
    <x:row r="128">
      <x:c r="A128" s="97"/>
    </x:row>
    <x:row r="129">
      <x:c r="A129" s="97"/>
    </x:row>
    <x:row r="130">
      <x:c r="A130" s="97"/>
    </x:row>
    <x:row r="131">
      <x:c r="A131" s="97"/>
    </x:row>
    <x:row r="132">
      <x:c r="A132" s="97"/>
    </x:row>
    <x:row r="133">
      <x:c r="A133" s="97"/>
    </x:row>
    <x:row r="134">
      <x:c r="A134" s="97"/>
    </x:row>
    <x:row r="135">
      <x:c r="A135" s="97"/>
    </x:row>
    <x:row r="136">
      <x:c r="A136" s="97"/>
    </x:row>
    <x:row r="137">
      <x:c r="A137" s="97"/>
    </x:row>
    <x:row r="138">
      <x:c r="A138" s="97"/>
    </x:row>
    <x:row r="139">
      <x:c r="A139" s="97"/>
    </x:row>
    <x:row r="140">
      <x:c r="A140" s="97"/>
    </x:row>
    <x:row r="141">
      <x:c r="A141" s="97"/>
    </x:row>
    <x:row r="142">
      <x:c r="A142" s="97"/>
    </x:row>
    <x:row r="143">
      <x:c r="A143" s="97"/>
    </x:row>
    <x:row r="144">
      <x:c r="A144" s="97"/>
    </x:row>
    <x:row r="145">
      <x:c r="A145" s="97"/>
    </x:row>
    <x:row r="146">
      <x:c r="A146" s="97"/>
    </x:row>
    <x:row r="147">
      <x:c r="A147" s="97"/>
    </x:row>
    <x:row r="148">
      <x:c r="A148" s="97"/>
    </x:row>
    <x:row r="149">
      <x:c r="A149" s="97"/>
    </x:row>
    <x:row r="150">
      <x:c r="A150" s="97"/>
    </x:row>
    <x:row r="151">
      <x:c r="A151" s="97"/>
    </x:row>
    <x:row r="152">
      <x:c r="A152" s="97"/>
    </x:row>
    <x:row r="153">
      <x:c r="A153" s="97"/>
    </x:row>
    <x:row r="154">
      <x:c r="A154" s="97"/>
    </x:row>
    <x:row r="155">
      <x:c r="A155" s="97"/>
    </x:row>
    <x:row r="156">
      <x:c r="A156" s="97"/>
    </x:row>
    <x:row r="157">
      <x:c r="A157" s="97"/>
    </x:row>
    <x:row r="158">
      <x:c r="A158" s="97"/>
    </x:row>
    <x:row r="159">
      <x:c r="A159" s="97"/>
    </x:row>
    <x:row r="160">
      <x:c r="A160" s="97"/>
    </x:row>
    <x:row r="161">
      <x:c r="A161" s="97"/>
    </x:row>
    <x:row r="162">
      <x:c r="A162" s="97"/>
    </x:row>
    <x:row r="163">
      <x:c r="A163" s="97"/>
    </x:row>
    <x:row r="164">
      <x:c r="A164" s="97"/>
    </x:row>
    <x:row r="165">
      <x:c r="A165" s="97"/>
    </x:row>
    <x:row r="166">
      <x:c r="A166" s="97"/>
    </x:row>
    <x:row r="167">
      <x:c r="A167" s="97"/>
    </x:row>
    <x:row r="168">
      <x:c r="A168" s="97"/>
    </x:row>
    <x:row r="169">
      <x:c r="A169" s="97"/>
    </x:row>
    <x:row r="170">
      <x:c r="A170" s="97"/>
    </x:row>
    <x:row r="171">
      <x:c r="A171" s="97"/>
    </x:row>
    <x:row r="172">
      <x:c r="A172" s="97"/>
    </x:row>
    <x:row r="173">
      <x:c r="A173" s="97"/>
    </x:row>
    <x:row r="174">
      <x:c r="A174" s="97"/>
    </x:row>
    <x:row r="175">
      <x:c r="A175" s="97"/>
    </x:row>
    <x:row r="176">
      <x:c r="A176" s="97"/>
    </x:row>
    <x:row r="177">
      <x:c r="A177" s="97"/>
    </x:row>
    <x:row r="178">
      <x:c r="A178" s="97"/>
    </x:row>
    <x:row r="179">
      <x:c r="A179" s="97"/>
    </x:row>
    <x:row r="180">
      <x:c r="A180" s="97"/>
    </x:row>
    <x:row r="181">
      <x:c r="A181" s="97"/>
    </x:row>
    <x:row r="182">
      <x:c r="A182" s="97"/>
    </x:row>
    <x:row r="183">
      <x:c r="A183" s="97"/>
    </x:row>
    <x:row r="184">
      <x:c r="A184" s="97"/>
    </x:row>
    <x:row r="185">
      <x:c r="A185" s="97"/>
    </x:row>
    <x:row r="186">
      <x:c r="A186" s="97"/>
    </x:row>
    <x:row r="187">
      <x:c r="A187" s="97"/>
    </x:row>
    <x:row r="188">
      <x:c r="A188" s="97"/>
    </x:row>
    <x:row r="189">
      <x:c r="A189" s="97"/>
    </x:row>
    <x:row r="190">
      <x:c r="A190" s="97"/>
    </x:row>
    <x:row r="191">
      <x:c r="A191" s="97"/>
    </x:row>
    <x:row r="192">
      <x:c r="A192" s="97"/>
    </x:row>
    <x:row r="193">
      <x:c r="A193" s="97"/>
    </x:row>
    <x:row r="194">
      <x:c r="A194" s="97"/>
    </x:row>
    <x:row r="195">
      <x:c r="A195" s="97"/>
    </x:row>
    <x:row r="196">
      <x:c r="A196" s="97"/>
    </x:row>
    <x:row r="197">
      <x:c r="A197" s="97"/>
    </x:row>
    <x:row r="198">
      <x:c r="A198" s="97"/>
    </x:row>
    <x:row r="199">
      <x:c r="A199" s="97"/>
    </x:row>
    <x:row r="200">
      <x:c r="A200" s="9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1ae9abffc6748d2"/>
  </x:tableParts>
</x:worksheet>
</file>